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xr:revisionPtr revIDLastSave="0" documentId="13_ncr:1_{E643D8DE-6D3D-4502-8752-6EB61A37F343}" xr6:coauthVersionLast="47" xr6:coauthVersionMax="47" xr10:uidLastSave="{00000000-0000-0000-0000-000000000000}"/>
  <bookViews>
    <workbookView xWindow="-108" yWindow="-108" windowWidth="23256" windowHeight="12456" tabRatio="509" firstSheet="1" activeTab="3" xr2:uid="{28DD5B76-0634-4F87-BE60-8BFA7EF2E23B}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3" l="1"/>
  <c r="D12" i="3"/>
  <c r="D19" i="3"/>
  <c r="D26" i="3" l="1"/>
</calcChain>
</file>

<file path=xl/sharedStrings.xml><?xml version="1.0" encoding="utf-8"?>
<sst xmlns="http://schemas.openxmlformats.org/spreadsheetml/2006/main" count="2036" uniqueCount="328">
  <si>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</si>
  <si>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</si>
  <si>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</si>
  <si>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</si>
  <si>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</si>
  <si>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</si>
  <si>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</si>
  <si>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</si>
  <si>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</si>
  <si>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</si>
  <si>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</si>
  <si>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</si>
  <si>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</si>
  <si>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</si>
  <si>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</si>
  <si>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</si>
  <si>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</si>
  <si>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</si>
  <si>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</si>
  <si>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</si>
  <si>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</si>
  <si>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</si>
  <si>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</si>
  <si>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</si>
  <si>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</si>
  <si>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</si>
  <si>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</si>
  <si>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</si>
  <si>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</si>
  <si>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</si>
  <si>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</si>
  <si>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</si>
  <si>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</si>
  <si>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</si>
  <si>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</si>
  <si>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</si>
  <si>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</si>
  <si>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</si>
  <si>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</si>
  <si>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</si>
  <si>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</si>
  <si>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</si>
  <si>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</si>
  <si>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</si>
  <si>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</si>
  <si>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</si>
  <si>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</si>
  <si>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</si>
  <si>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</si>
  <si>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</si>
  <si>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</si>
  <si>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</si>
  <si>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</si>
  <si>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</si>
  <si>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</si>
  <si>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</si>
  <si>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</si>
  <si>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</si>
  <si>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</si>
  <si>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</si>
  <si>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</si>
  <si>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</si>
  <si>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</si>
  <si>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</si>
  <si>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</si>
  <si>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</si>
  <si>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</si>
  <si>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</si>
  <si>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</si>
  <si>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</si>
  <si>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</si>
  <si>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</si>
  <si>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</si>
  <si>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</si>
  <si>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</si>
  <si>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</si>
  <si>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</si>
  <si>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</si>
  <si>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</si>
  <si>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</si>
  <si>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</si>
  <si>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</si>
  <si>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</si>
  <si>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</si>
  <si>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</si>
  <si>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</si>
  <si>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</si>
  <si>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</si>
  <si>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</si>
  <si>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</si>
  <si>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</si>
  <si>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</si>
  <si>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</si>
  <si>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</si>
  <si>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</si>
  <si>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</si>
  <si>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</si>
  <si>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</si>
  <si>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</si>
  <si>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</si>
  <si>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</si>
  <si>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</si>
  <si>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</si>
  <si>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</si>
  <si>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</si>
  <si>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</si>
  <si>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</si>
  <si>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</si>
  <si>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</si>
  <si>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</si>
  <si>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</si>
  <si>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</si>
  <si>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</si>
  <si>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</si>
  <si>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</si>
  <si>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</si>
  <si>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</si>
  <si>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</si>
  <si>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</si>
  <si>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</si>
  <si>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</si>
  <si>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</si>
  <si>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</si>
  <si>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</si>
  <si>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</si>
  <si>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</si>
  <si>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</si>
  <si>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</si>
  <si>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</si>
  <si>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</si>
  <si>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</si>
  <si>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</si>
  <si>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</si>
  <si>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</si>
  <si>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</si>
  <si>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</si>
  <si>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</si>
  <si>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</si>
  <si>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</si>
  <si>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</si>
  <si>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</si>
  <si>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</si>
  <si>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</si>
  <si>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</si>
  <si>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</si>
  <si>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</si>
  <si>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</si>
  <si>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</si>
  <si>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</si>
  <si>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</si>
  <si>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</si>
  <si>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</si>
  <si>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</si>
  <si>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</si>
  <si>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</si>
  <si>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</si>
  <si>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</si>
  <si>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</si>
  <si>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</si>
  <si>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</si>
  <si>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</si>
  <si>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</si>
  <si>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</si>
  <si>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</si>
  <si>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</si>
  <si>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</si>
  <si>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</si>
  <si>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</si>
  <si>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</si>
  <si>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</si>
  <si>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</si>
  <si>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</si>
  <si>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</si>
  <si>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</si>
  <si>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</si>
  <si>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</si>
  <si>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</si>
  <si>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</si>
  <si>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</si>
  <si>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</si>
  <si>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</si>
  <si>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</si>
  <si>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</si>
  <si>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</si>
  <si>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</si>
  <si>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</si>
  <si>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</si>
  <si>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</si>
  <si>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</si>
  <si>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</si>
  <si>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</si>
  <si>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</si>
  <si>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</si>
  <si>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</si>
  <si>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</si>
  <si>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</si>
  <si>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</si>
  <si>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</si>
  <si>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</si>
  <si>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</si>
  <si>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</si>
  <si>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</si>
  <si>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</si>
  <si>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</si>
  <si>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</si>
  <si>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</si>
  <si>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</si>
  <si>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</si>
  <si>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</si>
  <si>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</si>
  <si>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</si>
  <si>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</si>
  <si>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</si>
  <si>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</si>
  <si>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</si>
  <si>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</si>
  <si>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</si>
  <si>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</si>
  <si>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</si>
  <si>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</si>
  <si>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</si>
  <si>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</si>
  <si>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</si>
  <si>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</si>
  <si>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</si>
  <si>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</si>
  <si>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</si>
  <si>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</si>
  <si>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</si>
  <si>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</si>
  <si>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</si>
  <si>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</si>
  <si>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</si>
  <si>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</si>
  <si>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</si>
  <si>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</si>
  <si>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</si>
  <si>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</si>
  <si>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</si>
  <si>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</si>
  <si>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</si>
  <si>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</si>
  <si>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</si>
  <si>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</si>
  <si>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</si>
  <si>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</si>
  <si>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</si>
  <si>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</si>
  <si>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</si>
  <si>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</si>
  <si>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</si>
  <si>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</si>
  <si>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</si>
  <si>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</si>
  <si>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</si>
  <si>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</si>
  <si>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</si>
  <si>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</si>
  <si>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</si>
  <si>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</si>
  <si>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</si>
  <si>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</si>
  <si>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</si>
  <si>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</si>
  <si>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</si>
  <si>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</si>
  <si>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</si>
  <si>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</si>
  <si>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</si>
  <si>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</si>
  <si>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</si>
  <si>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</si>
  <si>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</si>
  <si>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</si>
  <si>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</si>
  <si>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</si>
  <si>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</si>
  <si>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</si>
  <si>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</si>
  <si>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</si>
  <si>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</si>
  <si>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</si>
  <si>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</si>
  <si>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</si>
  <si>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</si>
  <si>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</si>
  <si>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</si>
  <si>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</si>
  <si>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</si>
  <si>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</si>
  <si>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</si>
  <si>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</si>
  <si>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</si>
  <si>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</si>
  <si>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</si>
  <si>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</si>
  <si>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</si>
  <si>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</si>
  <si>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</si>
  <si>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</si>
  <si>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</si>
  <si>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</si>
  <si>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</si>
  <si>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</si>
  <si>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</si>
  <si>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</si>
  <si>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</si>
  <si>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</si>
  <si>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</si>
  <si>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</si>
  <si>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</si>
  <si>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</si>
  <si>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</si>
  <si>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XBOX GAME PASS SUBSCRIPTIONS SALES</t>
  </si>
  <si>
    <t>Pergunta 1: Qual o valor total em inscrições?</t>
  </si>
  <si>
    <t>Pergunta 2: Qual o valor total em inscrições EA?</t>
  </si>
  <si>
    <t>Pergunta 3: Qual o valor total em inscrições Minecraft?</t>
  </si>
  <si>
    <t>Pergunta 1.1: Qual o valor total de descontos atribuídos?</t>
  </si>
  <si>
    <t>Pergunta 1.2: Qual o valor total em renovações automáticas?</t>
  </si>
  <si>
    <t>Pergunta 4: Qual o valor total em inscrições por tipo de plano?</t>
  </si>
  <si>
    <t>Rótulos de Linha</t>
  </si>
  <si>
    <t>Total Geral</t>
  </si>
  <si>
    <t>Soma de Total Value</t>
  </si>
  <si>
    <t>(Tudo)</t>
  </si>
  <si>
    <t>Soma de Total Value2</t>
  </si>
  <si>
    <t>Contagem de Total Value</t>
  </si>
  <si>
    <t>Seja bem vinda, Fulana.</t>
  </si>
  <si>
    <t>Calculation period: 01/01/2024 - 31/12/2024 | Update date: 30/12/2025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</si>
</sst>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7" formatCode="[$R$-416]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Segoe UI"/>
      <family val="2"/>
    </font>
    <font>
      <sz val="12"/>
      <color theme="0"/>
      <name val="Segoe UI"/>
      <family val="2"/>
    </font>
    <font>
      <sz val="9"/>
      <color theme="2" tint="-0.499984740745262"/>
      <name val="Aptos Narrow"/>
      <family val="2"/>
      <scheme val="minor"/>
    </font>
    <font>
      <sz val="9"/>
      <color theme="2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applyFill="1"/>
    <xf numFmtId="0" fontId="4" fillId="0" borderId="2" xfId="0" applyFont="1" applyBorder="1"/>
    <xf numFmtId="0" fontId="4" fillId="0" borderId="2" xfId="0" applyFont="1" applyBorder="1" applyAlignment="1">
      <alignment horizontal="left" indent="5"/>
    </xf>
    <xf numFmtId="0" fontId="0" fillId="0" borderId="0" xfId="0" pivotButton="1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NumberFormat="1"/>
    <xf numFmtId="164" fontId="0" fillId="0" borderId="0" xfId="2" applyFont="1"/>
    <xf numFmtId="10" fontId="0" fillId="0" borderId="0" xfId="0" applyNumberFormat="1"/>
    <xf numFmtId="0" fontId="5" fillId="4" borderId="0" xfId="0" applyFont="1" applyFill="1"/>
    <xf numFmtId="0" fontId="6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</cellXfs>
  <cellStyles count="3">
    <cellStyle name="Cabeçalho 1" xfId="1" builtinId="16"/>
    <cellStyle name="Moeda" xfId="2" builtinId="4"/>
    <cellStyle name="Normal" xfId="0" builtinId="0"/>
  </cellStyles>
  <dxfs count="16">
    <dxf>
      <font>
        <sz val="1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EB49C0D-D1B1-4DEF-B4AC-7F700EC2C393}">
      <tableStyleElement type="wholeTable" dxfId="1"/>
      <tableStyleElement type="headerRow" dxfId="0"/>
    </tableStyle>
  </tableStyles>
  <colors>
    <mruColors>
      <color rgb="FF9BC848"/>
      <color rgb="FF22C55E"/>
      <color rgb="FFE8E6E9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  <name val="Segoe UI"/>
            <family val="2"/>
            <scheme val="none"/>
          </font>
          <fill>
            <patternFill patternType="none">
              <fgColor auto="1"/>
              <bgColor auto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  <name val="Segoe UI"/>
            <family val="2"/>
            <scheme val="none"/>
          </font>
          <fill>
            <patternFill patternType="solid">
              <fgColor indexed="64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Dinâmica6</c:name>
    <c:fmtId val="13"/>
  </c:pivotSource>
  <c:chart>
    <c:autoTitleDeleted val="1"/>
    <c:pivotFmts>
      <c:pivotFmt>
        <c:idx val="0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7189247283176"/>
          <c:y val="0.30475620927130942"/>
          <c:w val="0.63055744300997907"/>
          <c:h val="0.628938787714826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22C5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C̳álculos!$B$39:$B$42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C̳álculos!$C$39:$C$42</c:f>
              <c:numCache>
                <c:formatCode>_-"R$"\ * #\ ##0.00_-;\-"R$"\ * #\ ##0.00_-;_-"R$"\ * "-"??_-;_-@_-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B-4FD7-8FC0-3003DBA6B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656751"/>
        <c:axId val="1296999983"/>
      </c:barChart>
      <c:catAx>
        <c:axId val="108065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6999983"/>
        <c:crosses val="autoZero"/>
        <c:auto val="1"/>
        <c:lblAlgn val="ctr"/>
        <c:lblOffset val="100"/>
        <c:noMultiLvlLbl val="0"/>
      </c:catAx>
      <c:valAx>
        <c:axId val="1296999983"/>
        <c:scaling>
          <c:orientation val="minMax"/>
        </c:scaling>
        <c:delete val="1"/>
        <c:axPos val="b"/>
        <c:numFmt formatCode="_-&quot;R$&quot;\ * #\ ##0.00_-;\-&quot;R$&quot;\ * #\ ##0.00_-;_-&quot;R$&quot;\ * &quot;-&quot;??_-;_-@_-" sourceLinked="1"/>
        <c:majorTickMark val="none"/>
        <c:minorTickMark val="none"/>
        <c:tickLblPos val="nextTo"/>
        <c:crossAx val="108065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Dinâmica4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  <c:pivotFmt>
        <c:idx val="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81-4F77-B495-B781C20F9818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81-4F77-B495-B781C20F981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9BC84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781-4F77-B495-B781C20F98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C̳álculos!$F$12:$F$14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C̳álculos!$G$12:$G$14</c:f>
              <c:numCache>
                <c:formatCode>0.00%</c:formatCode>
                <c:ptCount val="2"/>
                <c:pt idx="0">
                  <c:v>0.5039958076771911</c:v>
                </c:pt>
                <c:pt idx="1">
                  <c:v>0.49600419232280885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81-4F77-B495-B781C20F98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2.xml"/><Relationship Id="rId7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11.png"/><Relationship Id="rId5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9</xdr:row>
      <xdr:rowOff>0</xdr:rowOff>
    </xdr:from>
    <xdr:to>
      <xdr:col>1</xdr:col>
      <xdr:colOff>0</xdr:colOff>
      <xdr:row>16</xdr:row>
      <xdr:rowOff>72390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B775112-3E66-409D-88CD-418CB80508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" y="1905000"/>
              <a:ext cx="1684018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323849</xdr:colOff>
      <xdr:row>15</xdr:row>
      <xdr:rowOff>155437</xdr:rowOff>
    </xdr:from>
    <xdr:to>
      <xdr:col>20</xdr:col>
      <xdr:colOff>370574</xdr:colOff>
      <xdr:row>31</xdr:row>
      <xdr:rowOff>139837</xdr:rowOff>
    </xdr:to>
    <xdr:graphicFrame macro="">
      <xdr:nvGraphicFramePr>
        <xdr:cNvPr id="4" name="Valor Total por Plano">
          <a:extLst>
            <a:ext uri="{FF2B5EF4-FFF2-40B4-BE49-F238E27FC236}">
              <a16:creationId xmlns:a16="http://schemas.microsoft.com/office/drawing/2014/main" id="{425BDB69-4ED7-47EF-8D57-BBBCCEE40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190498</xdr:colOff>
      <xdr:row>4</xdr:row>
      <xdr:rowOff>109537</xdr:rowOff>
    </xdr:from>
    <xdr:to>
      <xdr:col>7</xdr:col>
      <xdr:colOff>134848</xdr:colOff>
      <xdr:row>11</xdr:row>
      <xdr:rowOff>149362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27443782-28FB-1522-01D5-E5B51A0C0A96}"/>
            </a:ext>
          </a:extLst>
        </xdr:cNvPr>
        <xdr:cNvGrpSpPr/>
      </xdr:nvGrpSpPr>
      <xdr:grpSpPr>
        <a:xfrm>
          <a:off x="1874518" y="978217"/>
          <a:ext cx="3236190" cy="1441905"/>
          <a:chOff x="1866898" y="971550"/>
          <a:chExt cx="3600001" cy="1440000"/>
        </a:xfrm>
      </xdr:grpSpPr>
      <xdr:sp macro="" textlink="C̳álculos!D12">
        <xdr:nvSpPr>
          <xdr:cNvPr id="5" name="Retângulo 4">
            <a:extLst>
              <a:ext uri="{FF2B5EF4-FFF2-40B4-BE49-F238E27FC236}">
                <a16:creationId xmlns:a16="http://schemas.microsoft.com/office/drawing/2014/main" id="{C3C0F684-18CF-15DE-756D-E35922AF6E0E}"/>
              </a:ext>
            </a:extLst>
          </xdr:cNvPr>
          <xdr:cNvSpPr/>
        </xdr:nvSpPr>
        <xdr:spPr>
          <a:xfrm>
            <a:off x="1866898" y="971550"/>
            <a:ext cx="3600000" cy="1440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2758E9D-20F0-4355-B738-46172DA517C3}" type="TxLink">
              <a:rPr lang="en-US" sz="1800" b="1" i="0" u="none" strike="noStrike">
                <a:solidFill>
                  <a:srgbClr val="22C55E"/>
                </a:solidFill>
                <a:latin typeface="Aptos Narrow"/>
              </a:rPr>
              <a:pPr algn="ctr"/>
              <a:t>R$ 7 633,00</a:t>
            </a:fld>
            <a:endParaRPr lang="pt-PT" sz="2000" b="1">
              <a:solidFill>
                <a:srgbClr val="22C55E"/>
              </a:solidFill>
            </a:endParaRPr>
          </a:p>
        </xdr:txBody>
      </xdr:sp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DD278332-D879-B79F-49AA-2DE5DF90AA8F}"/>
              </a:ext>
            </a:extLst>
          </xdr:cNvPr>
          <xdr:cNvSpPr/>
        </xdr:nvSpPr>
        <xdr:spPr>
          <a:xfrm>
            <a:off x="1866899" y="971550"/>
            <a:ext cx="3600000" cy="350509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PT" sz="1200" b="1" kern="1200">
                <a:latin typeface="Segoe UI" panose="020B0502040204020203" pitchFamily="34" charset="0"/>
                <a:cs typeface="Segoe UI" panose="020B0502040204020203" pitchFamily="34" charset="0"/>
              </a:rPr>
              <a:t>Faturamento Total</a:t>
            </a:r>
            <a:endParaRPr lang="pt-PT" sz="14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190498</xdr:colOff>
      <xdr:row>13</xdr:row>
      <xdr:rowOff>152400</xdr:rowOff>
    </xdr:from>
    <xdr:to>
      <xdr:col>7</xdr:col>
      <xdr:colOff>134848</xdr:colOff>
      <xdr:row>21</xdr:row>
      <xdr:rowOff>144600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EFBAEE39-959F-440F-AB2D-9CDFB65C05B6}"/>
            </a:ext>
          </a:extLst>
        </xdr:cNvPr>
        <xdr:cNvGrpSpPr/>
      </xdr:nvGrpSpPr>
      <xdr:grpSpPr>
        <a:xfrm>
          <a:off x="1874518" y="2788920"/>
          <a:ext cx="3236190" cy="1455240"/>
          <a:chOff x="1866898" y="971550"/>
          <a:chExt cx="3600001" cy="1440000"/>
        </a:xfrm>
      </xdr:grpSpPr>
      <xdr:sp macro="" textlink="C̳álculos!D26">
        <xdr:nvSpPr>
          <xdr:cNvPr id="9" name="Retângulo 8">
            <a:extLst>
              <a:ext uri="{FF2B5EF4-FFF2-40B4-BE49-F238E27FC236}">
                <a16:creationId xmlns:a16="http://schemas.microsoft.com/office/drawing/2014/main" id="{FD84EA26-005F-98BA-59DF-F4BBF40CAC54}"/>
              </a:ext>
            </a:extLst>
          </xdr:cNvPr>
          <xdr:cNvSpPr/>
        </xdr:nvSpPr>
        <xdr:spPr>
          <a:xfrm>
            <a:off x="1866898" y="971550"/>
            <a:ext cx="3600000" cy="1440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EAA5E08-3F6C-4BBE-8309-A2E509E03883}" type="TxLink">
              <a:rPr lang="en-US" sz="1800" b="1" i="0" u="none" strike="noStrike">
                <a:solidFill>
                  <a:srgbClr val="22C55E"/>
                </a:solidFill>
                <a:latin typeface="Aptos Narrow"/>
              </a:rPr>
              <a:t>R$ 7 189,00</a:t>
            </a:fld>
            <a:endParaRPr lang="pt-PT" sz="4800" b="1">
              <a:solidFill>
                <a:srgbClr val="22C55E"/>
              </a:solidFill>
            </a:endParaRPr>
          </a:p>
        </xdr:txBody>
      </xdr: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937F360-8978-AFE4-3445-778ED68527B2}"/>
              </a:ext>
            </a:extLst>
          </xdr:cNvPr>
          <xdr:cNvSpPr/>
        </xdr:nvSpPr>
        <xdr:spPr>
          <a:xfrm>
            <a:off x="1866899" y="971550"/>
            <a:ext cx="3600000" cy="350509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PT" sz="1200" b="1" kern="1200">
                <a:latin typeface="Segoe UI" panose="020B0502040204020203" pitchFamily="34" charset="0"/>
                <a:cs typeface="Segoe UI" panose="020B0502040204020203" pitchFamily="34" charset="0"/>
              </a:rPr>
              <a:t>Faturamento Total Minecraft Season</a:t>
            </a:r>
            <a:r>
              <a:rPr lang="pt-PT" sz="12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PT" sz="14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190498</xdr:colOff>
      <xdr:row>23</xdr:row>
      <xdr:rowOff>147637</xdr:rowOff>
    </xdr:from>
    <xdr:to>
      <xdr:col>7</xdr:col>
      <xdr:colOff>134848</xdr:colOff>
      <xdr:row>31</xdr:row>
      <xdr:rowOff>139837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9D9082DD-357A-4E84-8BA1-C57F99A203E1}"/>
            </a:ext>
          </a:extLst>
        </xdr:cNvPr>
        <xdr:cNvGrpSpPr/>
      </xdr:nvGrpSpPr>
      <xdr:grpSpPr>
        <a:xfrm>
          <a:off x="1874518" y="4612957"/>
          <a:ext cx="3236190" cy="1455240"/>
          <a:chOff x="1866898" y="971550"/>
          <a:chExt cx="3600001" cy="1440000"/>
        </a:xfrm>
      </xdr:grpSpPr>
      <xdr:sp macro="" textlink="C̳álculos!D19">
        <xdr:nvSpPr>
          <xdr:cNvPr id="12" name="Retângulo 11">
            <a:extLst>
              <a:ext uri="{FF2B5EF4-FFF2-40B4-BE49-F238E27FC236}">
                <a16:creationId xmlns:a16="http://schemas.microsoft.com/office/drawing/2014/main" id="{477AD66A-A1A2-D548-85F3-2266CD96AFCE}"/>
              </a:ext>
            </a:extLst>
          </xdr:cNvPr>
          <xdr:cNvSpPr/>
        </xdr:nvSpPr>
        <xdr:spPr>
          <a:xfrm>
            <a:off x="1866898" y="971550"/>
            <a:ext cx="3600000" cy="1440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EB56C82-7F7C-40E2-913A-0685806A374F}" type="TxLink">
              <a:rPr lang="en-US" sz="1800" b="1" i="0" u="none" strike="noStrike">
                <a:solidFill>
                  <a:srgbClr val="22C55E"/>
                </a:solidFill>
                <a:latin typeface="Aptos Narrow"/>
              </a:rPr>
              <a:t>R$ 5 388,00</a:t>
            </a:fld>
            <a:endParaRPr lang="pt-PT" sz="3200" b="1">
              <a:solidFill>
                <a:srgbClr val="22C55E"/>
              </a:solidFill>
            </a:endParaRPr>
          </a:p>
        </xdr:txBody>
      </xdr: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301BF3D0-0C94-4FF7-03BB-A70A170935F3}"/>
              </a:ext>
            </a:extLst>
          </xdr:cNvPr>
          <xdr:cNvSpPr/>
        </xdr:nvSpPr>
        <xdr:spPr>
          <a:xfrm>
            <a:off x="1866899" y="971550"/>
            <a:ext cx="3600000" cy="350509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PT" sz="1200" b="1" kern="1200">
                <a:latin typeface="Segoe UI" panose="020B0502040204020203" pitchFamily="34" charset="0"/>
                <a:cs typeface="Segoe UI" panose="020B0502040204020203" pitchFamily="34" charset="0"/>
              </a:rPr>
              <a:t>Faturamento Total EA Play</a:t>
            </a:r>
            <a:r>
              <a:rPr lang="pt-PT" sz="12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PT" sz="14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85726</xdr:colOff>
      <xdr:row>1</xdr:row>
      <xdr:rowOff>123824</xdr:rowOff>
    </xdr:from>
    <xdr:to>
      <xdr:col>2</xdr:col>
      <xdr:colOff>333376</xdr:colOff>
      <xdr:row>2</xdr:row>
      <xdr:rowOff>76199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6AD7CB5-47A8-4B63-8913-D253BA685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6993" b="-2441"/>
        <a:stretch>
          <a:fillRect/>
        </a:stretch>
      </xdr:blipFill>
      <xdr:spPr>
        <a:xfrm>
          <a:off x="1769746" y="306704"/>
          <a:ext cx="491490" cy="447675"/>
        </a:xfrm>
        <a:prstGeom prst="rect">
          <a:avLst/>
        </a:prstGeom>
      </xdr:spPr>
    </xdr:pic>
    <xdr:clientData/>
  </xdr:twoCellAnchor>
  <xdr:twoCellAnchor editAs="absolute">
    <xdr:from>
      <xdr:col>8</xdr:col>
      <xdr:colOff>276223</xdr:colOff>
      <xdr:row>4</xdr:row>
      <xdr:rowOff>109537</xdr:rowOff>
    </xdr:from>
    <xdr:to>
      <xdr:col>14</xdr:col>
      <xdr:colOff>20548</xdr:colOff>
      <xdr:row>11</xdr:row>
      <xdr:rowOff>149362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C481361-FF04-4191-896B-35B4690624CD}"/>
            </a:ext>
          </a:extLst>
        </xdr:cNvPr>
        <xdr:cNvGrpSpPr/>
      </xdr:nvGrpSpPr>
      <xdr:grpSpPr>
        <a:xfrm>
          <a:off x="5861683" y="978217"/>
          <a:ext cx="3241905" cy="1441905"/>
          <a:chOff x="1866898" y="971550"/>
          <a:chExt cx="3600001" cy="1440000"/>
        </a:xfrm>
      </xdr:grpSpPr>
      <xdr:sp macro="" textlink="C̳álculos!I30">
        <xdr:nvSpPr>
          <xdr:cNvPr id="16" name="Retângulo 15">
            <a:extLst>
              <a:ext uri="{FF2B5EF4-FFF2-40B4-BE49-F238E27FC236}">
                <a16:creationId xmlns:a16="http://schemas.microsoft.com/office/drawing/2014/main" id="{20D59EDB-49D0-1ED4-05B9-45EA6A3B429C}"/>
              </a:ext>
            </a:extLst>
          </xdr:cNvPr>
          <xdr:cNvSpPr/>
        </xdr:nvSpPr>
        <xdr:spPr>
          <a:xfrm>
            <a:off x="1866898" y="971550"/>
            <a:ext cx="3600000" cy="1440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A85B441-CF68-403B-986C-7CE5FF8F2067}" type="TxLink">
              <a:rPr lang="en-US" sz="1800" b="1" i="0" u="none" strike="noStrike">
                <a:solidFill>
                  <a:srgbClr val="9BC848"/>
                </a:solidFill>
                <a:latin typeface="Aptos Narrow"/>
              </a:rPr>
              <a:pPr algn="ctr"/>
              <a:t> R$ 7 378,00 </a:t>
            </a:fld>
            <a:endParaRPr lang="pt-PT" sz="1800" b="1">
              <a:solidFill>
                <a:srgbClr val="9BC848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C3C5BAD9-7D23-CCF9-F644-0141FCB8950D}"/>
              </a:ext>
            </a:extLst>
          </xdr:cNvPr>
          <xdr:cNvSpPr/>
        </xdr:nvSpPr>
        <xdr:spPr>
          <a:xfrm>
            <a:off x="1866899" y="971550"/>
            <a:ext cx="3600000" cy="350509"/>
          </a:xfrm>
          <a:prstGeom prst="round2SameRect">
            <a:avLst/>
          </a:prstGeom>
          <a:solidFill>
            <a:srgbClr val="9BC848"/>
          </a:solidFill>
          <a:ln>
            <a:solidFill>
              <a:srgbClr val="9BC848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PT" sz="1200" b="1" kern="1200">
                <a:latin typeface="Segoe UI" panose="020B0502040204020203" pitchFamily="34" charset="0"/>
                <a:cs typeface="Segoe UI" panose="020B0502040204020203" pitchFamily="34" charset="0"/>
              </a:rPr>
              <a:t>Valor Total de Descontos aplicados</a:t>
            </a:r>
            <a:endParaRPr lang="pt-PT" sz="14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15</xdr:col>
      <xdr:colOff>197624</xdr:colOff>
      <xdr:row>4</xdr:row>
      <xdr:rowOff>109537</xdr:rowOff>
    </xdr:from>
    <xdr:to>
      <xdr:col>20</xdr:col>
      <xdr:colOff>389624</xdr:colOff>
      <xdr:row>13</xdr:row>
      <xdr:rowOff>147412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95E5A13-2527-4CEA-9B77-D33A6B213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219075</xdr:colOff>
      <xdr:row>1</xdr:row>
      <xdr:rowOff>9525</xdr:rowOff>
    </xdr:from>
    <xdr:to>
      <xdr:col>0</xdr:col>
      <xdr:colOff>1304925</xdr:colOff>
      <xdr:row>6</xdr:row>
      <xdr:rowOff>95250</xdr:rowOff>
    </xdr:to>
    <xdr:sp macro="" textlink="">
      <xdr:nvSpPr>
        <xdr:cNvPr id="24" name="Elipse 8">
          <a:extLst>
            <a:ext uri="{FF2B5EF4-FFF2-40B4-BE49-F238E27FC236}">
              <a16:creationId xmlns:a16="http://schemas.microsoft.com/office/drawing/2014/main" id="{E908048B-32D0-4A24-8DEE-4CBE40796252}"/>
            </a:ext>
          </a:extLst>
        </xdr:cNvPr>
        <xdr:cNvSpPr/>
      </xdr:nvSpPr>
      <xdr:spPr>
        <a:xfrm>
          <a:off x="219075" y="190500"/>
          <a:ext cx="1085850" cy="102870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220978</xdr:colOff>
      <xdr:row>25</xdr:row>
      <xdr:rowOff>115059</xdr:rowOff>
    </xdr:from>
    <xdr:to>
      <xdr:col>3</xdr:col>
      <xdr:colOff>190500</xdr:colOff>
      <xdr:row>29</xdr:row>
      <xdr:rowOff>170496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2A5B4A73-1F8D-4933-84CC-8B301BC6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8" y="4946139"/>
          <a:ext cx="822962" cy="786957"/>
        </a:xfrm>
        <a:prstGeom prst="rect">
          <a:avLst/>
        </a:prstGeom>
      </xdr:spPr>
    </xdr:pic>
    <xdr:clientData/>
  </xdr:twoCellAnchor>
  <xdr:twoCellAnchor editAs="absolute">
    <xdr:from>
      <xdr:col>1</xdr:col>
      <xdr:colOff>213358</xdr:colOff>
      <xdr:row>16</xdr:row>
      <xdr:rowOff>137160</xdr:rowOff>
    </xdr:from>
    <xdr:to>
      <xdr:col>3</xdr:col>
      <xdr:colOff>251460</xdr:colOff>
      <xdr:row>19</xdr:row>
      <xdr:rowOff>38100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A21296C7-372E-4391-85C2-8F2841AB1E6E}"/>
            </a:ext>
          </a:extLst>
        </xdr:cNvPr>
        <xdr:cNvGrpSpPr/>
      </xdr:nvGrpSpPr>
      <xdr:grpSpPr>
        <a:xfrm>
          <a:off x="1897378" y="3322320"/>
          <a:ext cx="891542" cy="449580"/>
          <a:chOff x="3495675" y="5400674"/>
          <a:chExt cx="1549476" cy="752476"/>
        </a:xfrm>
      </xdr:grpSpPr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5971ACF3-8568-D025-BA9F-91FC1C4C92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8" name="Gráfico 27">
            <a:extLst>
              <a:ext uri="{FF2B5EF4-FFF2-40B4-BE49-F238E27FC236}">
                <a16:creationId xmlns:a16="http://schemas.microsoft.com/office/drawing/2014/main" id="{20943AE2-EC82-E29D-7EAA-409456CE0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0.0022</cdr:y>
    </cdr:from>
    <cdr:to>
      <cdr:x>1</cdr:x>
      <cdr:y>0.1772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720019B6-EA5A-877F-B5BA-5281D33ACF87}"/>
            </a:ext>
          </a:extLst>
        </cdr:cNvPr>
        <cdr:cNvSpPr/>
      </cdr:nvSpPr>
      <cdr:spPr>
        <a:xfrm xmlns:a="http://schemas.openxmlformats.org/drawingml/2006/main">
          <a:off x="0" y="6350"/>
          <a:ext cx="7200000" cy="504000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solidFill>
            <a:srgbClr val="22C55E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PT" sz="1400" b="1" kern="1200">
              <a:latin typeface="Segoe UI" panose="020B0502040204020203" pitchFamily="34" charset="0"/>
              <a:cs typeface="Segoe UI" panose="020B0502040204020203" pitchFamily="34" charset="0"/>
            </a:rPr>
            <a:t>Faturamento Total por tipo de Plano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3.08642E-7</cdr:x>
      <cdr:y>0.00221</cdr:y>
    </cdr:from>
    <cdr:to>
      <cdr:x>1</cdr:x>
      <cdr:y>0.22221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DD278332-D879-B79F-49AA-2DE5DF90AA8F}"/>
            </a:ext>
          </a:extLst>
        </cdr:cNvPr>
        <cdr:cNvSpPr/>
      </cdr:nvSpPr>
      <cdr:spPr>
        <a:xfrm xmlns:a="http://schemas.openxmlformats.org/drawingml/2006/main">
          <a:off x="1" y="3969"/>
          <a:ext cx="3239999" cy="396000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solidFill>
            <a:srgbClr val="22C55E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PT" sz="1200" b="1" kern="1200">
              <a:latin typeface="Segoe UI" panose="020B0502040204020203" pitchFamily="34" charset="0"/>
              <a:cs typeface="Segoe UI" panose="020B0502040204020203" pitchFamily="34" charset="0"/>
            </a:rPr>
            <a:t>Renovação Automática</a:t>
          </a:r>
          <a:endParaRPr lang="pt-PT" sz="1400" b="1" kern="120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n Pessoa" refreshedDate="46018.385308101853" createdVersion="8" refreshedVersion="8" minRefreshableVersion="3" recordCount="295" xr:uid="{41CFC191-1D1B-4369-BC52-93CDD878D28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 count="2">
        <n v="20"/>
        <n v="0"/>
      </sharedItems>
    </cacheField>
    <cacheField name="Coupon Value" numFmtId="16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859796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s v="Yes"/>
    <x v="0"/>
    <s v="Yes"/>
    <x v="0"/>
    <x v="0"/>
    <n v="60"/>
  </r>
  <r>
    <n v="3232"/>
    <s v="Maria Oliveira"/>
    <x v="1"/>
    <d v="2024-01-15T00:00:00"/>
    <x v="1"/>
    <x v="1"/>
    <x v="1"/>
    <s v="No"/>
    <x v="1"/>
    <s v="No"/>
    <x v="1"/>
    <x v="1"/>
    <n v="5"/>
  </r>
  <r>
    <n v="3233"/>
    <s v="Lucas Fernandes"/>
    <x v="2"/>
    <d v="2024-02-10T00:00:00"/>
    <x v="0"/>
    <x v="2"/>
    <x v="2"/>
    <s v="No"/>
    <x v="1"/>
    <s v="Yes"/>
    <x v="0"/>
    <x v="2"/>
    <n v="20"/>
  </r>
  <r>
    <n v="3234"/>
    <s v="Ana Souza"/>
    <x v="0"/>
    <d v="2024-02-20T00:00:00"/>
    <x v="1"/>
    <x v="0"/>
    <x v="0"/>
    <s v="Yes"/>
    <x v="0"/>
    <s v="Yes"/>
    <x v="0"/>
    <x v="3"/>
    <n v="62"/>
  </r>
  <r>
    <n v="3235"/>
    <s v="Pedro Gonçalves"/>
    <x v="1"/>
    <d v="2024-03-05T00:00:00"/>
    <x v="0"/>
    <x v="1"/>
    <x v="0"/>
    <s v="No"/>
    <x v="1"/>
    <s v="No"/>
    <x v="1"/>
    <x v="4"/>
    <n v="4"/>
  </r>
  <r>
    <n v="3236"/>
    <s v="Felipe Costa"/>
    <x v="2"/>
    <d v="2024-03-02T00:00:00"/>
    <x v="1"/>
    <x v="2"/>
    <x v="0"/>
    <s v="No"/>
    <x v="1"/>
    <s v="Yes"/>
    <x v="0"/>
    <x v="5"/>
    <n v="28"/>
  </r>
  <r>
    <n v="3237"/>
    <s v="Camila Ribeiro"/>
    <x v="0"/>
    <d v="2024-03-03T00:00:00"/>
    <x v="0"/>
    <x v="0"/>
    <x v="2"/>
    <s v="Yes"/>
    <x v="0"/>
    <s v="Yes"/>
    <x v="0"/>
    <x v="2"/>
    <n v="55"/>
  </r>
  <r>
    <n v="3238"/>
    <s v="André Mendes"/>
    <x v="1"/>
    <d v="2024-03-04T00:00:00"/>
    <x v="0"/>
    <x v="1"/>
    <x v="1"/>
    <s v="No"/>
    <x v="1"/>
    <s v="No"/>
    <x v="1"/>
    <x v="1"/>
    <n v="5"/>
  </r>
  <r>
    <n v="3239"/>
    <s v="Sofia Almeida"/>
    <x v="0"/>
    <d v="2024-03-05T00:00:00"/>
    <x v="1"/>
    <x v="0"/>
    <x v="0"/>
    <s v="Yes"/>
    <x v="0"/>
    <s v="Yes"/>
    <x v="0"/>
    <x v="0"/>
    <n v="60"/>
  </r>
  <r>
    <n v="3240"/>
    <s v="Bruno Martins"/>
    <x v="2"/>
    <d v="2024-03-06T00:00:00"/>
    <x v="0"/>
    <x v="2"/>
    <x v="2"/>
    <s v="No"/>
    <x v="1"/>
    <s v="Yes"/>
    <x v="0"/>
    <x v="6"/>
    <n v="15"/>
  </r>
  <r>
    <n v="3241"/>
    <s v="Rita Castro"/>
    <x v="1"/>
    <d v="2024-03-07T00:00:00"/>
    <x v="1"/>
    <x v="1"/>
    <x v="0"/>
    <s v="No"/>
    <x v="1"/>
    <s v="No"/>
    <x v="1"/>
    <x v="4"/>
    <n v="4"/>
  </r>
  <r>
    <n v="3242"/>
    <s v="Marco Túlio"/>
    <x v="0"/>
    <d v="2024-03-08T00:00:00"/>
    <x v="0"/>
    <x v="0"/>
    <x v="1"/>
    <s v="Yes"/>
    <x v="0"/>
    <s v="Yes"/>
    <x v="0"/>
    <x v="7"/>
    <n v="45"/>
  </r>
  <r>
    <n v="3243"/>
    <s v="Lívia Silveira"/>
    <x v="2"/>
    <d v="2024-03-09T00:00:00"/>
    <x v="1"/>
    <x v="2"/>
    <x v="0"/>
    <s v="No"/>
    <x v="1"/>
    <s v="Yes"/>
    <x v="0"/>
    <x v="2"/>
    <n v="20"/>
  </r>
  <r>
    <n v="3244"/>
    <s v="Diogo Sousa"/>
    <x v="1"/>
    <d v="2024-03-10T00:00:00"/>
    <x v="0"/>
    <x v="1"/>
    <x v="2"/>
    <s v="No"/>
    <x v="1"/>
    <s v="No"/>
    <x v="1"/>
    <x v="1"/>
    <n v="5"/>
  </r>
  <r>
    <n v="3245"/>
    <s v="Fernanda Lima"/>
    <x v="0"/>
    <d v="2024-03-11T00:00:00"/>
    <x v="1"/>
    <x v="0"/>
    <x v="0"/>
    <s v="Yes"/>
    <x v="0"/>
    <s v="Yes"/>
    <x v="0"/>
    <x v="8"/>
    <n v="57"/>
  </r>
  <r>
    <n v="3246"/>
    <s v="Caio Pereira"/>
    <x v="2"/>
    <d v="2024-03-12T00:00:00"/>
    <x v="0"/>
    <x v="2"/>
    <x v="1"/>
    <s v="No"/>
    <x v="1"/>
    <s v="Yes"/>
    <x v="0"/>
    <x v="9"/>
    <n v="18"/>
  </r>
  <r>
    <n v="3247"/>
    <s v="Beatriz Gomes"/>
    <x v="1"/>
    <d v="2024-03-13T00:00:00"/>
    <x v="1"/>
    <x v="1"/>
    <x v="0"/>
    <s v="No"/>
    <x v="1"/>
    <s v="No"/>
    <x v="1"/>
    <x v="5"/>
    <n v="3"/>
  </r>
  <r>
    <n v="3248"/>
    <s v="Cesar Oliveira"/>
    <x v="0"/>
    <d v="2024-03-14T00:00:00"/>
    <x v="0"/>
    <x v="0"/>
    <x v="2"/>
    <s v="Yes"/>
    <x v="0"/>
    <s v="Yes"/>
    <x v="0"/>
    <x v="10"/>
    <n v="58"/>
  </r>
  <r>
    <n v="3249"/>
    <s v="Débora Machado"/>
    <x v="2"/>
    <d v="2024-03-15T00:00:00"/>
    <x v="1"/>
    <x v="2"/>
    <x v="0"/>
    <s v="No"/>
    <x v="1"/>
    <s v="Yes"/>
    <x v="0"/>
    <x v="0"/>
    <n v="25"/>
  </r>
  <r>
    <n v="3250"/>
    <s v="Eduardo Vargas"/>
    <x v="1"/>
    <d v="2024-03-16T00:00:00"/>
    <x v="0"/>
    <x v="1"/>
    <x v="1"/>
    <s v="No"/>
    <x v="1"/>
    <s v="No"/>
    <x v="1"/>
    <x v="1"/>
    <n v="5"/>
  </r>
  <r>
    <n v="3251"/>
    <s v="Gabriela Santos"/>
    <x v="0"/>
    <d v="2024-03-17T00:00:00"/>
    <x v="1"/>
    <x v="0"/>
    <x v="0"/>
    <s v="Yes"/>
    <x v="0"/>
    <s v="Yes"/>
    <x v="0"/>
    <x v="3"/>
    <n v="62"/>
  </r>
  <r>
    <n v="3252"/>
    <s v="Henrique Dias"/>
    <x v="2"/>
    <d v="2024-03-18T00:00:00"/>
    <x v="0"/>
    <x v="2"/>
    <x v="2"/>
    <s v="No"/>
    <x v="1"/>
    <s v="Yes"/>
    <x v="0"/>
    <x v="6"/>
    <n v="15"/>
  </r>
  <r>
    <n v="3253"/>
    <s v="Isabela Moreira"/>
    <x v="1"/>
    <d v="2024-03-19T00:00:00"/>
    <x v="1"/>
    <x v="1"/>
    <x v="0"/>
    <s v="No"/>
    <x v="1"/>
    <s v="No"/>
    <x v="1"/>
    <x v="4"/>
    <n v="4"/>
  </r>
  <r>
    <n v="3254"/>
    <s v="Joaquim Barbosa"/>
    <x v="0"/>
    <d v="2024-03-20T00:00:00"/>
    <x v="0"/>
    <x v="0"/>
    <x v="1"/>
    <s v="Yes"/>
    <x v="0"/>
    <s v="Yes"/>
    <x v="0"/>
    <x v="7"/>
    <n v="45"/>
  </r>
  <r>
    <n v="3255"/>
    <s v="Lara Rocha"/>
    <x v="2"/>
    <d v="2024-03-21T00:00:00"/>
    <x v="1"/>
    <x v="2"/>
    <x v="0"/>
    <s v="No"/>
    <x v="1"/>
    <s v="Yes"/>
    <x v="0"/>
    <x v="2"/>
    <n v="20"/>
  </r>
  <r>
    <n v="3256"/>
    <s v="Matheus Silva"/>
    <x v="1"/>
    <d v="2024-03-22T00:00:00"/>
    <x v="0"/>
    <x v="1"/>
    <x v="2"/>
    <s v="No"/>
    <x v="1"/>
    <s v="No"/>
    <x v="1"/>
    <x v="1"/>
    <n v="5"/>
  </r>
  <r>
    <n v="3257"/>
    <s v="Nicole Costa"/>
    <x v="0"/>
    <d v="2024-03-23T00:00:00"/>
    <x v="1"/>
    <x v="0"/>
    <x v="0"/>
    <s v="Yes"/>
    <x v="0"/>
    <s v="Yes"/>
    <x v="0"/>
    <x v="0"/>
    <n v="60"/>
  </r>
  <r>
    <n v="3258"/>
    <s v="Otávio Mendonça"/>
    <x v="2"/>
    <d v="2024-03-24T00:00:00"/>
    <x v="0"/>
    <x v="2"/>
    <x v="1"/>
    <s v="No"/>
    <x v="1"/>
    <s v="Yes"/>
    <x v="0"/>
    <x v="6"/>
    <n v="15"/>
  </r>
  <r>
    <n v="3259"/>
    <s v="Paula Ferreira"/>
    <x v="1"/>
    <d v="2024-03-25T00:00:00"/>
    <x v="1"/>
    <x v="1"/>
    <x v="0"/>
    <s v="No"/>
    <x v="1"/>
    <s v="No"/>
    <x v="1"/>
    <x v="4"/>
    <n v="4"/>
  </r>
  <r>
    <n v="3260"/>
    <s v="Raquel Alves"/>
    <x v="0"/>
    <d v="2024-03-26T00:00:00"/>
    <x v="0"/>
    <x v="0"/>
    <x v="2"/>
    <s v="Yes"/>
    <x v="0"/>
    <s v="Yes"/>
    <x v="0"/>
    <x v="10"/>
    <n v="58"/>
  </r>
  <r>
    <n v="3261"/>
    <s v="Samuel Pires"/>
    <x v="2"/>
    <d v="2024-03-27T00:00:00"/>
    <x v="1"/>
    <x v="2"/>
    <x v="0"/>
    <s v="No"/>
    <x v="1"/>
    <s v="Yes"/>
    <x v="0"/>
    <x v="2"/>
    <n v="20"/>
  </r>
  <r>
    <n v="3262"/>
    <s v="Tânia Barros"/>
    <x v="1"/>
    <d v="2024-03-28T00:00:00"/>
    <x v="0"/>
    <x v="1"/>
    <x v="1"/>
    <s v="No"/>
    <x v="1"/>
    <s v="No"/>
    <x v="1"/>
    <x v="1"/>
    <n v="5"/>
  </r>
  <r>
    <n v="3263"/>
    <s v="Vinicius Lima"/>
    <x v="0"/>
    <d v="2024-03-29T00:00:00"/>
    <x v="1"/>
    <x v="0"/>
    <x v="0"/>
    <s v="Yes"/>
    <x v="0"/>
    <s v="Yes"/>
    <x v="0"/>
    <x v="3"/>
    <n v="62"/>
  </r>
  <r>
    <n v="3264"/>
    <s v="Yasmin Teixeira"/>
    <x v="2"/>
    <d v="2024-03-30T00:00:00"/>
    <x v="0"/>
    <x v="2"/>
    <x v="2"/>
    <s v="No"/>
    <x v="1"/>
    <s v="Yes"/>
    <x v="0"/>
    <x v="6"/>
    <n v="15"/>
  </r>
  <r>
    <n v="3265"/>
    <s v="Zé Carlos"/>
    <x v="1"/>
    <d v="2024-03-31T00:00:00"/>
    <x v="1"/>
    <x v="1"/>
    <x v="0"/>
    <s v="No"/>
    <x v="1"/>
    <s v="No"/>
    <x v="1"/>
    <x v="4"/>
    <n v="4"/>
  </r>
  <r>
    <n v="3266"/>
    <s v="Amanda Nogueira"/>
    <x v="1"/>
    <d v="2024-04-01T00:00:00"/>
    <x v="0"/>
    <x v="1"/>
    <x v="0"/>
    <s v="No"/>
    <x v="1"/>
    <s v="No"/>
    <x v="1"/>
    <x v="1"/>
    <n v="5"/>
  </r>
  <r>
    <n v="3267"/>
    <s v="Bruno Cavalheiro"/>
    <x v="0"/>
    <d v="2024-04-02T00:00:00"/>
    <x v="1"/>
    <x v="0"/>
    <x v="2"/>
    <s v="Yes"/>
    <x v="0"/>
    <s v="Yes"/>
    <x v="0"/>
    <x v="10"/>
    <n v="58"/>
  </r>
  <r>
    <n v="3268"/>
    <s v="Carla Dias"/>
    <x v="2"/>
    <d v="2024-04-03T00:00:00"/>
    <x v="0"/>
    <x v="2"/>
    <x v="1"/>
    <s v="No"/>
    <x v="1"/>
    <s v="Yes"/>
    <x v="0"/>
    <x v="2"/>
    <n v="20"/>
  </r>
  <r>
    <n v="3269"/>
    <s v="Diego Fontes"/>
    <x v="1"/>
    <d v="2024-04-04T00:00:00"/>
    <x v="1"/>
    <x v="1"/>
    <x v="2"/>
    <s v="No"/>
    <x v="1"/>
    <s v="No"/>
    <x v="1"/>
    <x v="4"/>
    <n v="4"/>
  </r>
  <r>
    <n v="3270"/>
    <s v="Eunice Lima"/>
    <x v="0"/>
    <d v="2024-04-05T00:00:00"/>
    <x v="0"/>
    <x v="0"/>
    <x v="0"/>
    <s v="Yes"/>
    <x v="0"/>
    <s v="Yes"/>
    <x v="0"/>
    <x v="6"/>
    <n v="50"/>
  </r>
  <r>
    <n v="3271"/>
    <s v="Fábio Martins"/>
    <x v="2"/>
    <d v="2024-04-06T00:00:00"/>
    <x v="1"/>
    <x v="2"/>
    <x v="0"/>
    <s v="No"/>
    <x v="1"/>
    <s v="Yes"/>
    <x v="0"/>
    <x v="0"/>
    <n v="25"/>
  </r>
  <r>
    <n v="3272"/>
    <s v="Gisele Araújo"/>
    <x v="1"/>
    <d v="2024-04-07T00:00:00"/>
    <x v="0"/>
    <x v="1"/>
    <x v="1"/>
    <s v="No"/>
    <x v="1"/>
    <s v="No"/>
    <x v="1"/>
    <x v="1"/>
    <n v="5"/>
  </r>
  <r>
    <n v="3273"/>
    <s v="Hélio Castro"/>
    <x v="0"/>
    <d v="2024-04-08T00:00:00"/>
    <x v="1"/>
    <x v="0"/>
    <x v="2"/>
    <s v="Yes"/>
    <x v="0"/>
    <s v="Yes"/>
    <x v="0"/>
    <x v="7"/>
    <n v="45"/>
  </r>
  <r>
    <n v="3274"/>
    <s v="Ingrid Menezes"/>
    <x v="2"/>
    <d v="2024-04-09T00:00:00"/>
    <x v="0"/>
    <x v="2"/>
    <x v="2"/>
    <s v="No"/>
    <x v="1"/>
    <s v="Yes"/>
    <x v="0"/>
    <x v="9"/>
    <n v="18"/>
  </r>
  <r>
    <n v="3275"/>
    <s v="Jorge Baptista"/>
    <x v="1"/>
    <d v="2024-04-10T00:00:00"/>
    <x v="1"/>
    <x v="1"/>
    <x v="0"/>
    <s v="No"/>
    <x v="1"/>
    <s v="No"/>
    <x v="1"/>
    <x v="5"/>
    <n v="3"/>
  </r>
  <r>
    <n v="3276"/>
    <s v="Kléber Oliveira"/>
    <x v="0"/>
    <d v="2024-04-11T00:00:00"/>
    <x v="0"/>
    <x v="0"/>
    <x v="1"/>
    <s v="Yes"/>
    <x v="0"/>
    <s v="Yes"/>
    <x v="0"/>
    <x v="0"/>
    <n v="60"/>
  </r>
  <r>
    <n v="3277"/>
    <s v="Luciana Freitas"/>
    <x v="2"/>
    <d v="2024-04-12T00:00:00"/>
    <x v="1"/>
    <x v="2"/>
    <x v="0"/>
    <s v="No"/>
    <x v="1"/>
    <s v="Yes"/>
    <x v="0"/>
    <x v="2"/>
    <n v="20"/>
  </r>
  <r>
    <n v="3278"/>
    <s v="Márcia Eller"/>
    <x v="1"/>
    <d v="2024-04-13T00:00:00"/>
    <x v="0"/>
    <x v="1"/>
    <x v="2"/>
    <s v="No"/>
    <x v="1"/>
    <s v="No"/>
    <x v="1"/>
    <x v="1"/>
    <n v="5"/>
  </r>
  <r>
    <n v="3279"/>
    <s v="Nilo Peçanha"/>
    <x v="0"/>
    <d v="2024-04-14T00:00:00"/>
    <x v="1"/>
    <x v="0"/>
    <x v="0"/>
    <s v="Yes"/>
    <x v="0"/>
    <s v="Yes"/>
    <x v="0"/>
    <x v="3"/>
    <n v="62"/>
  </r>
  <r>
    <n v="3280"/>
    <s v="Oscar Neves"/>
    <x v="2"/>
    <d v="2024-04-15T00:00:00"/>
    <x v="0"/>
    <x v="2"/>
    <x v="1"/>
    <s v="No"/>
    <x v="1"/>
    <s v="Yes"/>
    <x v="0"/>
    <x v="6"/>
    <n v="15"/>
  </r>
  <r>
    <n v="3281"/>
    <s v="Patrícia Soares"/>
    <x v="1"/>
    <d v="2024-04-16T00:00:00"/>
    <x v="1"/>
    <x v="1"/>
    <x v="0"/>
    <s v="No"/>
    <x v="1"/>
    <s v="No"/>
    <x v="1"/>
    <x v="4"/>
    <n v="4"/>
  </r>
  <r>
    <n v="3282"/>
    <s v="Quirino Gonçalves"/>
    <x v="0"/>
    <d v="2024-04-17T00:00:00"/>
    <x v="0"/>
    <x v="0"/>
    <x v="2"/>
    <s v="Yes"/>
    <x v="0"/>
    <s v="Yes"/>
    <x v="0"/>
    <x v="10"/>
    <n v="58"/>
  </r>
  <r>
    <n v="3283"/>
    <s v="Raul Machado"/>
    <x v="2"/>
    <d v="2024-04-18T00:00:00"/>
    <x v="1"/>
    <x v="2"/>
    <x v="0"/>
    <s v="No"/>
    <x v="1"/>
    <s v="Yes"/>
    <x v="0"/>
    <x v="2"/>
    <n v="20"/>
  </r>
  <r>
    <n v="3284"/>
    <s v="Sônia Lobo"/>
    <x v="1"/>
    <d v="2024-04-19T00:00:00"/>
    <x v="0"/>
    <x v="1"/>
    <x v="1"/>
    <s v="No"/>
    <x v="1"/>
    <s v="No"/>
    <x v="1"/>
    <x v="1"/>
    <n v="5"/>
  </r>
  <r>
    <n v="3285"/>
    <s v="Tiago Ramos"/>
    <x v="0"/>
    <d v="2024-04-20T00:00:00"/>
    <x v="1"/>
    <x v="0"/>
    <x v="0"/>
    <s v="Yes"/>
    <x v="0"/>
    <s v="Yes"/>
    <x v="0"/>
    <x v="7"/>
    <n v="45"/>
  </r>
  <r>
    <n v="3286"/>
    <s v="Ugo Pires"/>
    <x v="2"/>
    <d v="2024-04-21T00:00:00"/>
    <x v="0"/>
    <x v="2"/>
    <x v="2"/>
    <s v="No"/>
    <x v="1"/>
    <s v="Yes"/>
    <x v="0"/>
    <x v="6"/>
    <n v="15"/>
  </r>
  <r>
    <n v="3287"/>
    <s v="Valéria Nobre"/>
    <x v="1"/>
    <d v="2024-04-22T00:00:00"/>
    <x v="1"/>
    <x v="1"/>
    <x v="0"/>
    <s v="No"/>
    <x v="1"/>
    <s v="No"/>
    <x v="1"/>
    <x v="4"/>
    <n v="4"/>
  </r>
  <r>
    <n v="3288"/>
    <s v="William Siqueira"/>
    <x v="0"/>
    <d v="2024-04-23T00:00:00"/>
    <x v="0"/>
    <x v="0"/>
    <x v="1"/>
    <s v="Yes"/>
    <x v="0"/>
    <s v="Yes"/>
    <x v="0"/>
    <x v="3"/>
    <n v="62"/>
  </r>
  <r>
    <n v="3289"/>
    <s v="Xuxa Meneghel"/>
    <x v="2"/>
    <d v="2024-04-24T00:00:00"/>
    <x v="1"/>
    <x v="2"/>
    <x v="0"/>
    <s v="No"/>
    <x v="1"/>
    <s v="Yes"/>
    <x v="0"/>
    <x v="2"/>
    <n v="20"/>
  </r>
  <r>
    <n v="3290"/>
    <s v="Yara Figueiredo"/>
    <x v="1"/>
    <d v="2024-04-25T00:00:00"/>
    <x v="0"/>
    <x v="1"/>
    <x v="2"/>
    <s v="No"/>
    <x v="1"/>
    <s v="No"/>
    <x v="1"/>
    <x v="1"/>
    <n v="5"/>
  </r>
  <r>
    <n v="3291"/>
    <s v="Zacarias Alves"/>
    <x v="0"/>
    <d v="2024-04-26T00:00:00"/>
    <x v="1"/>
    <x v="0"/>
    <x v="0"/>
    <s v="Yes"/>
    <x v="0"/>
    <s v="Yes"/>
    <x v="0"/>
    <x v="0"/>
    <n v="60"/>
  </r>
  <r>
    <n v="3292"/>
    <s v="Amanda Bynes"/>
    <x v="2"/>
    <d v="2024-04-27T00:00:00"/>
    <x v="0"/>
    <x v="2"/>
    <x v="1"/>
    <s v="No"/>
    <x v="1"/>
    <s v="Yes"/>
    <x v="0"/>
    <x v="6"/>
    <n v="15"/>
  </r>
  <r>
    <n v="3293"/>
    <s v="Bruno Mars"/>
    <x v="1"/>
    <d v="2024-04-28T00:00:00"/>
    <x v="1"/>
    <x v="1"/>
    <x v="0"/>
    <s v="No"/>
    <x v="1"/>
    <s v="No"/>
    <x v="1"/>
    <x v="4"/>
    <n v="4"/>
  </r>
  <r>
    <n v="3294"/>
    <s v="Carla Bruni"/>
    <x v="0"/>
    <d v="2024-04-29T00:00:00"/>
    <x v="0"/>
    <x v="0"/>
    <x v="2"/>
    <s v="Yes"/>
    <x v="0"/>
    <s v="Yes"/>
    <x v="0"/>
    <x v="7"/>
    <n v="45"/>
  </r>
  <r>
    <n v="3295"/>
    <s v="Diego Maradona"/>
    <x v="2"/>
    <d v="2024-04-30T00:00:00"/>
    <x v="1"/>
    <x v="2"/>
    <x v="0"/>
    <s v="No"/>
    <x v="1"/>
    <s v="Yes"/>
    <x v="0"/>
    <x v="0"/>
    <n v="25"/>
  </r>
  <r>
    <n v="3296"/>
    <s v="Estela Marques"/>
    <x v="1"/>
    <d v="2024-05-01T00:00:00"/>
    <x v="1"/>
    <x v="1"/>
    <x v="0"/>
    <s v="No"/>
    <x v="1"/>
    <s v="No"/>
    <x v="1"/>
    <x v="1"/>
    <n v="5"/>
  </r>
  <r>
    <n v="3297"/>
    <s v="Fábio Nobre"/>
    <x v="0"/>
    <d v="2024-05-02T00:00:00"/>
    <x v="0"/>
    <x v="0"/>
    <x v="2"/>
    <s v="Yes"/>
    <x v="0"/>
    <s v="Yes"/>
    <x v="0"/>
    <x v="10"/>
    <n v="58"/>
  </r>
  <r>
    <n v="3298"/>
    <s v="Gabriel Oliveira"/>
    <x v="2"/>
    <d v="2024-05-03T00:00:00"/>
    <x v="1"/>
    <x v="2"/>
    <x v="1"/>
    <s v="No"/>
    <x v="1"/>
    <s v="Yes"/>
    <x v="0"/>
    <x v="2"/>
    <n v="20"/>
  </r>
  <r>
    <n v="3299"/>
    <s v="Helena Santos"/>
    <x v="1"/>
    <d v="2024-05-04T00:00:00"/>
    <x v="0"/>
    <x v="1"/>
    <x v="2"/>
    <s v="No"/>
    <x v="1"/>
    <s v="No"/>
    <x v="1"/>
    <x v="4"/>
    <n v="4"/>
  </r>
  <r>
    <n v="3300"/>
    <s v="Ivan Carvalho"/>
    <x v="0"/>
    <d v="2024-05-05T00:00:00"/>
    <x v="1"/>
    <x v="0"/>
    <x v="0"/>
    <s v="Yes"/>
    <x v="0"/>
    <s v="Yes"/>
    <x v="0"/>
    <x v="6"/>
    <n v="50"/>
  </r>
  <r>
    <n v="3301"/>
    <s v="Júlia Ferreira"/>
    <x v="2"/>
    <d v="2024-05-06T00:00:00"/>
    <x v="0"/>
    <x v="2"/>
    <x v="0"/>
    <s v="No"/>
    <x v="1"/>
    <s v="Yes"/>
    <x v="0"/>
    <x v="0"/>
    <n v="25"/>
  </r>
  <r>
    <n v="3302"/>
    <s v="Karla Alves"/>
    <x v="1"/>
    <d v="2024-05-07T00:00:00"/>
    <x v="1"/>
    <x v="1"/>
    <x v="1"/>
    <s v="No"/>
    <x v="1"/>
    <s v="No"/>
    <x v="1"/>
    <x v="1"/>
    <n v="5"/>
  </r>
  <r>
    <n v="3303"/>
    <s v="Lucas Mendes"/>
    <x v="0"/>
    <d v="2024-05-08T00:00:00"/>
    <x v="0"/>
    <x v="0"/>
    <x v="2"/>
    <s v="Yes"/>
    <x v="0"/>
    <s v="Yes"/>
    <x v="0"/>
    <x v="7"/>
    <n v="45"/>
  </r>
  <r>
    <n v="3304"/>
    <s v="Mônica Gomes"/>
    <x v="2"/>
    <d v="2024-05-09T00:00:00"/>
    <x v="1"/>
    <x v="2"/>
    <x v="2"/>
    <s v="No"/>
    <x v="1"/>
    <s v="Yes"/>
    <x v="0"/>
    <x v="9"/>
    <n v="18"/>
  </r>
  <r>
    <n v="3305"/>
    <s v="Norberto Queiroz"/>
    <x v="1"/>
    <d v="2024-05-10T00:00:00"/>
    <x v="0"/>
    <x v="1"/>
    <x v="0"/>
    <s v="No"/>
    <x v="1"/>
    <s v="No"/>
    <x v="1"/>
    <x v="5"/>
    <n v="3"/>
  </r>
  <r>
    <n v="3306"/>
    <s v="Otávio Barros"/>
    <x v="0"/>
    <d v="2024-05-11T00:00:00"/>
    <x v="1"/>
    <x v="0"/>
    <x v="1"/>
    <s v="Yes"/>
    <x v="0"/>
    <s v="Yes"/>
    <x v="0"/>
    <x v="0"/>
    <n v="60"/>
  </r>
  <r>
    <n v="3307"/>
    <s v="Paula Vieira"/>
    <x v="2"/>
    <d v="2024-05-12T00:00:00"/>
    <x v="0"/>
    <x v="2"/>
    <x v="0"/>
    <s v="No"/>
    <x v="1"/>
    <s v="Yes"/>
    <x v="0"/>
    <x v="2"/>
    <n v="20"/>
  </r>
  <r>
    <n v="3308"/>
    <s v="Quentin Ramos"/>
    <x v="1"/>
    <d v="2024-05-13T00:00:00"/>
    <x v="1"/>
    <x v="1"/>
    <x v="2"/>
    <s v="No"/>
    <x v="1"/>
    <s v="No"/>
    <x v="1"/>
    <x v="1"/>
    <n v="5"/>
  </r>
  <r>
    <n v="3309"/>
    <s v="Raquel Novaes"/>
    <x v="0"/>
    <d v="2024-05-14T00:00:00"/>
    <x v="0"/>
    <x v="0"/>
    <x v="0"/>
    <s v="Yes"/>
    <x v="0"/>
    <s v="Yes"/>
    <x v="0"/>
    <x v="3"/>
    <n v="62"/>
  </r>
  <r>
    <n v="3310"/>
    <s v="Samantha Lopes"/>
    <x v="2"/>
    <d v="2024-05-15T00:00:00"/>
    <x v="1"/>
    <x v="2"/>
    <x v="1"/>
    <s v="No"/>
    <x v="1"/>
    <s v="Yes"/>
    <x v="0"/>
    <x v="6"/>
    <n v="15"/>
  </r>
  <r>
    <n v="3311"/>
    <s v="Tiago Martins"/>
    <x v="1"/>
    <d v="2024-05-16T00:00:00"/>
    <x v="0"/>
    <x v="1"/>
    <x v="0"/>
    <s v="No"/>
    <x v="1"/>
    <s v="No"/>
    <x v="1"/>
    <x v="4"/>
    <n v="4"/>
  </r>
  <r>
    <n v="3312"/>
    <s v="Ulysses Guimarães"/>
    <x v="0"/>
    <d v="2024-05-17T00:00:00"/>
    <x v="1"/>
    <x v="0"/>
    <x v="2"/>
    <s v="Yes"/>
    <x v="0"/>
    <s v="Yes"/>
    <x v="0"/>
    <x v="10"/>
    <n v="58"/>
  </r>
  <r>
    <n v="3313"/>
    <s v="Vanessa Silva"/>
    <x v="2"/>
    <d v="2024-05-18T00:00:00"/>
    <x v="0"/>
    <x v="2"/>
    <x v="0"/>
    <s v="No"/>
    <x v="1"/>
    <s v="Yes"/>
    <x v="0"/>
    <x v="2"/>
    <n v="20"/>
  </r>
  <r>
    <n v="3314"/>
    <s v="William Carneiro"/>
    <x v="1"/>
    <d v="2024-05-19T00:00:00"/>
    <x v="1"/>
    <x v="1"/>
    <x v="1"/>
    <s v="No"/>
    <x v="1"/>
    <s v="No"/>
    <x v="1"/>
    <x v="1"/>
    <n v="5"/>
  </r>
  <r>
    <n v="3315"/>
    <s v="Ximena Rocha"/>
    <x v="0"/>
    <d v="2024-05-20T00:00:00"/>
    <x v="0"/>
    <x v="0"/>
    <x v="0"/>
    <s v="Yes"/>
    <x v="0"/>
    <s v="Yes"/>
    <x v="0"/>
    <x v="7"/>
    <n v="45"/>
  </r>
  <r>
    <n v="3316"/>
    <s v="Yasmin Figueiredo"/>
    <x v="2"/>
    <d v="2024-05-21T00:00:00"/>
    <x v="1"/>
    <x v="2"/>
    <x v="2"/>
    <s v="No"/>
    <x v="1"/>
    <s v="Yes"/>
    <x v="0"/>
    <x v="6"/>
    <n v="15"/>
  </r>
  <r>
    <n v="3317"/>
    <s v="Zara Cunha"/>
    <x v="1"/>
    <d v="2024-05-22T00:00:00"/>
    <x v="0"/>
    <x v="1"/>
    <x v="0"/>
    <s v="No"/>
    <x v="1"/>
    <s v="No"/>
    <x v="1"/>
    <x v="4"/>
    <n v="4"/>
  </r>
  <r>
    <n v="3318"/>
    <s v="Alan Teixeira"/>
    <x v="0"/>
    <d v="2024-05-23T00:00:00"/>
    <x v="1"/>
    <x v="0"/>
    <x v="1"/>
    <s v="Yes"/>
    <x v="0"/>
    <s v="Yes"/>
    <x v="0"/>
    <x v="3"/>
    <n v="62"/>
  </r>
  <r>
    <n v="3319"/>
    <s v="Bárbara Oliveira"/>
    <x v="2"/>
    <d v="2024-05-24T00:00:00"/>
    <x v="0"/>
    <x v="2"/>
    <x v="0"/>
    <s v="No"/>
    <x v="1"/>
    <s v="Yes"/>
    <x v="0"/>
    <x v="2"/>
    <n v="20"/>
  </r>
  <r>
    <n v="3320"/>
    <s v="Carlos Junqueira"/>
    <x v="1"/>
    <d v="2024-05-25T00:00:00"/>
    <x v="1"/>
    <x v="1"/>
    <x v="2"/>
    <s v="No"/>
    <x v="1"/>
    <s v="No"/>
    <x v="1"/>
    <x v="1"/>
    <n v="5"/>
  </r>
  <r>
    <n v="3321"/>
    <s v="Daniela Moura"/>
    <x v="0"/>
    <d v="2024-05-26T00:00:00"/>
    <x v="0"/>
    <x v="0"/>
    <x v="0"/>
    <s v="Yes"/>
    <x v="0"/>
    <s v="Yes"/>
    <x v="0"/>
    <x v="0"/>
    <n v="60"/>
  </r>
  <r>
    <n v="3322"/>
    <s v="Eduardo Lima"/>
    <x v="2"/>
    <d v="2024-05-27T00:00:00"/>
    <x v="1"/>
    <x v="2"/>
    <x v="1"/>
    <s v="No"/>
    <x v="1"/>
    <s v="Yes"/>
    <x v="0"/>
    <x v="6"/>
    <n v="15"/>
  </r>
  <r>
    <n v="3323"/>
    <s v="Fabiana Araújo"/>
    <x v="1"/>
    <d v="2024-05-28T00:00:00"/>
    <x v="0"/>
    <x v="1"/>
    <x v="0"/>
    <s v="No"/>
    <x v="1"/>
    <s v="No"/>
    <x v="1"/>
    <x v="4"/>
    <n v="4"/>
  </r>
  <r>
    <n v="3324"/>
    <s v="Geraldo Ribeiro"/>
    <x v="0"/>
    <d v="2024-05-29T00:00:00"/>
    <x v="1"/>
    <x v="0"/>
    <x v="2"/>
    <s v="Yes"/>
    <x v="0"/>
    <s v="Yes"/>
    <x v="0"/>
    <x v="7"/>
    <n v="45"/>
  </r>
  <r>
    <n v="3325"/>
    <s v="Héctor Vargas"/>
    <x v="2"/>
    <d v="2024-05-30T00:00:00"/>
    <x v="0"/>
    <x v="2"/>
    <x v="2"/>
    <s v="No"/>
    <x v="1"/>
    <s v="Yes"/>
    <x v="0"/>
    <x v="6"/>
    <n v="15"/>
  </r>
  <r>
    <n v="3326"/>
    <s v="Isabela Fonseca"/>
    <x v="1"/>
    <d v="2024-05-31T00:00:00"/>
    <x v="1"/>
    <x v="1"/>
    <x v="1"/>
    <s v="No"/>
    <x v="1"/>
    <s v="No"/>
    <x v="1"/>
    <x v="1"/>
    <n v="5"/>
  </r>
  <r>
    <n v="3327"/>
    <s v="João Pedro Almeida"/>
    <x v="0"/>
    <d v="2024-06-01T00:00:00"/>
    <x v="0"/>
    <x v="0"/>
    <x v="0"/>
    <s v="Yes"/>
    <x v="0"/>
    <s v="Yes"/>
    <x v="0"/>
    <x v="10"/>
    <n v="58"/>
  </r>
  <r>
    <n v="3328"/>
    <s v="Klara Costa"/>
    <x v="2"/>
    <d v="2024-06-02T00:00:00"/>
    <x v="1"/>
    <x v="2"/>
    <x v="1"/>
    <s v="No"/>
    <x v="1"/>
    <s v="Yes"/>
    <x v="0"/>
    <x v="2"/>
    <n v="20"/>
  </r>
  <r>
    <n v="3329"/>
    <s v="Luciana Mendes"/>
    <x v="1"/>
    <d v="2024-06-03T00:00:00"/>
    <x v="0"/>
    <x v="1"/>
    <x v="2"/>
    <s v="No"/>
    <x v="1"/>
    <s v="No"/>
    <x v="1"/>
    <x v="4"/>
    <n v="4"/>
  </r>
  <r>
    <n v="3330"/>
    <s v="Marcelo Gouveia"/>
    <x v="0"/>
    <d v="2024-06-04T00:00:00"/>
    <x v="1"/>
    <x v="0"/>
    <x v="0"/>
    <s v="Yes"/>
    <x v="0"/>
    <s v="Yes"/>
    <x v="0"/>
    <x v="6"/>
    <n v="50"/>
  </r>
  <r>
    <n v="3331"/>
    <s v="Nívea Borges"/>
    <x v="2"/>
    <d v="2024-06-05T00:00:00"/>
    <x v="0"/>
    <x v="2"/>
    <x v="0"/>
    <s v="No"/>
    <x v="1"/>
    <s v="Yes"/>
    <x v="0"/>
    <x v="0"/>
    <n v="25"/>
  </r>
  <r>
    <n v="3332"/>
    <s v="Oscar Nogueira"/>
    <x v="1"/>
    <d v="2024-06-06T00:00:00"/>
    <x v="1"/>
    <x v="1"/>
    <x v="1"/>
    <s v="No"/>
    <x v="1"/>
    <s v="No"/>
    <x v="1"/>
    <x v="1"/>
    <n v="5"/>
  </r>
  <r>
    <n v="3333"/>
    <s v="Patrícia Alves"/>
    <x v="0"/>
    <d v="2024-06-07T00:00:00"/>
    <x v="0"/>
    <x v="0"/>
    <x v="2"/>
    <s v="Yes"/>
    <x v="0"/>
    <s v="Yes"/>
    <x v="0"/>
    <x v="7"/>
    <n v="45"/>
  </r>
  <r>
    <n v="3334"/>
    <s v="Rafaela Silva"/>
    <x v="2"/>
    <d v="2024-06-08T00:00:00"/>
    <x v="1"/>
    <x v="2"/>
    <x v="2"/>
    <s v="No"/>
    <x v="1"/>
    <s v="Yes"/>
    <x v="0"/>
    <x v="9"/>
    <n v="18"/>
  </r>
  <r>
    <n v="3335"/>
    <s v="Samantha Moraes"/>
    <x v="1"/>
    <d v="2024-06-09T00:00:00"/>
    <x v="0"/>
    <x v="1"/>
    <x v="0"/>
    <s v="No"/>
    <x v="1"/>
    <s v="No"/>
    <x v="1"/>
    <x v="5"/>
    <n v="3"/>
  </r>
  <r>
    <n v="3336"/>
    <s v="Tatiana Rocha"/>
    <x v="1"/>
    <d v="2024-06-10T00:00:00"/>
    <x v="0"/>
    <x v="1"/>
    <x v="0"/>
    <s v="No"/>
    <x v="1"/>
    <s v="No"/>
    <x v="1"/>
    <x v="1"/>
    <n v="5"/>
  </r>
  <r>
    <n v="3337"/>
    <s v="Ulisses Tavares"/>
    <x v="0"/>
    <d v="2024-06-11T00:00:00"/>
    <x v="1"/>
    <x v="0"/>
    <x v="2"/>
    <s v="Yes"/>
    <x v="0"/>
    <s v="Yes"/>
    <x v="0"/>
    <x v="10"/>
    <n v="58"/>
  </r>
  <r>
    <n v="3338"/>
    <s v="Víctor Lemos"/>
    <x v="2"/>
    <d v="2024-06-12T00:00:00"/>
    <x v="0"/>
    <x v="2"/>
    <x v="1"/>
    <s v="No"/>
    <x v="1"/>
    <s v="Yes"/>
    <x v="0"/>
    <x v="2"/>
    <n v="20"/>
  </r>
  <r>
    <n v="3339"/>
    <s v="Wilma Barros"/>
    <x v="1"/>
    <d v="2024-06-13T00:00:00"/>
    <x v="1"/>
    <x v="1"/>
    <x v="2"/>
    <s v="No"/>
    <x v="1"/>
    <s v="No"/>
    <x v="1"/>
    <x v="4"/>
    <n v="4"/>
  </r>
  <r>
    <n v="3340"/>
    <s v="Xavier Nascimento"/>
    <x v="0"/>
    <d v="2024-06-14T00:00:00"/>
    <x v="0"/>
    <x v="0"/>
    <x v="0"/>
    <s v="Yes"/>
    <x v="0"/>
    <s v="Yes"/>
    <x v="0"/>
    <x v="6"/>
    <n v="50"/>
  </r>
  <r>
    <n v="3341"/>
    <s v="Yago Pereira"/>
    <x v="2"/>
    <d v="2024-06-15T00:00:00"/>
    <x v="1"/>
    <x v="2"/>
    <x v="0"/>
    <s v="No"/>
    <x v="1"/>
    <s v="Yes"/>
    <x v="0"/>
    <x v="0"/>
    <n v="25"/>
  </r>
  <r>
    <n v="3342"/>
    <s v="Zilda Ferreira"/>
    <x v="1"/>
    <d v="2024-06-16T00:00:00"/>
    <x v="0"/>
    <x v="1"/>
    <x v="1"/>
    <s v="No"/>
    <x v="1"/>
    <s v="No"/>
    <x v="1"/>
    <x v="1"/>
    <n v="5"/>
  </r>
  <r>
    <n v="3343"/>
    <s v="Amanda Lopes"/>
    <x v="0"/>
    <d v="2024-06-17T00:00:00"/>
    <x v="1"/>
    <x v="0"/>
    <x v="2"/>
    <s v="Yes"/>
    <x v="0"/>
    <s v="Yes"/>
    <x v="0"/>
    <x v="7"/>
    <n v="45"/>
  </r>
  <r>
    <n v="3344"/>
    <s v="Bruno Miranda"/>
    <x v="2"/>
    <d v="2024-06-18T00:00:00"/>
    <x v="0"/>
    <x v="2"/>
    <x v="2"/>
    <s v="No"/>
    <x v="1"/>
    <s v="Yes"/>
    <x v="0"/>
    <x v="9"/>
    <n v="18"/>
  </r>
  <r>
    <n v="3345"/>
    <s v="Célia Torres"/>
    <x v="1"/>
    <d v="2024-06-19T00:00:00"/>
    <x v="1"/>
    <x v="1"/>
    <x v="0"/>
    <s v="No"/>
    <x v="1"/>
    <s v="No"/>
    <x v="1"/>
    <x v="5"/>
    <n v="3"/>
  </r>
  <r>
    <n v="3346"/>
    <s v="Diogo Souza"/>
    <x v="0"/>
    <d v="2024-06-20T00:00:00"/>
    <x v="0"/>
    <x v="0"/>
    <x v="1"/>
    <s v="Yes"/>
    <x v="0"/>
    <s v="Yes"/>
    <x v="0"/>
    <x v="0"/>
    <n v="60"/>
  </r>
  <r>
    <n v="3347"/>
    <s v="Elisa Castro"/>
    <x v="2"/>
    <d v="2024-06-21T00:00:00"/>
    <x v="1"/>
    <x v="2"/>
    <x v="0"/>
    <s v="No"/>
    <x v="1"/>
    <s v="Yes"/>
    <x v="0"/>
    <x v="2"/>
    <n v="20"/>
  </r>
  <r>
    <n v="3348"/>
    <s v="Fátima Lima"/>
    <x v="1"/>
    <d v="2024-06-22T00:00:00"/>
    <x v="0"/>
    <x v="1"/>
    <x v="2"/>
    <s v="No"/>
    <x v="1"/>
    <s v="No"/>
    <x v="1"/>
    <x v="1"/>
    <n v="5"/>
  </r>
  <r>
    <n v="3349"/>
    <s v="Geraldo Ribeiro"/>
    <x v="0"/>
    <d v="2024-06-23T00:00:00"/>
    <x v="1"/>
    <x v="0"/>
    <x v="0"/>
    <s v="Yes"/>
    <x v="0"/>
    <s v="Yes"/>
    <x v="0"/>
    <x v="3"/>
    <n v="62"/>
  </r>
  <r>
    <n v="3350"/>
    <s v="Hélio Martins"/>
    <x v="2"/>
    <d v="2024-06-24T00:00:00"/>
    <x v="0"/>
    <x v="2"/>
    <x v="1"/>
    <s v="No"/>
    <x v="1"/>
    <s v="Yes"/>
    <x v="0"/>
    <x v="6"/>
    <n v="15"/>
  </r>
  <r>
    <n v="3351"/>
    <s v="Íris Santos"/>
    <x v="1"/>
    <d v="2024-06-25T00:00:00"/>
    <x v="1"/>
    <x v="1"/>
    <x v="0"/>
    <s v="No"/>
    <x v="1"/>
    <s v="No"/>
    <x v="1"/>
    <x v="4"/>
    <n v="4"/>
  </r>
  <r>
    <n v="3352"/>
    <s v="João Marcelo"/>
    <x v="0"/>
    <d v="2024-06-26T00:00:00"/>
    <x v="0"/>
    <x v="0"/>
    <x v="2"/>
    <s v="Yes"/>
    <x v="0"/>
    <s v="Yes"/>
    <x v="0"/>
    <x v="10"/>
    <n v="58"/>
  </r>
  <r>
    <n v="3353"/>
    <s v="Larissa Gomes"/>
    <x v="2"/>
    <d v="2024-06-27T00:00:00"/>
    <x v="1"/>
    <x v="2"/>
    <x v="0"/>
    <s v="No"/>
    <x v="1"/>
    <s v="Yes"/>
    <x v="0"/>
    <x v="2"/>
    <n v="20"/>
  </r>
  <r>
    <n v="3354"/>
    <s v="Márcio Silva"/>
    <x v="1"/>
    <d v="2024-06-28T00:00:00"/>
    <x v="0"/>
    <x v="1"/>
    <x v="1"/>
    <s v="No"/>
    <x v="1"/>
    <s v="No"/>
    <x v="1"/>
    <x v="1"/>
    <n v="5"/>
  </r>
  <r>
    <n v="3355"/>
    <s v="Nadia Costa"/>
    <x v="0"/>
    <d v="2024-06-29T00:00:00"/>
    <x v="1"/>
    <x v="0"/>
    <x v="0"/>
    <s v="Yes"/>
    <x v="0"/>
    <s v="Yes"/>
    <x v="0"/>
    <x v="7"/>
    <n v="45"/>
  </r>
  <r>
    <n v="3356"/>
    <s v="Oscar Almeida"/>
    <x v="2"/>
    <d v="2024-06-30T00:00:00"/>
    <x v="0"/>
    <x v="2"/>
    <x v="2"/>
    <s v="No"/>
    <x v="1"/>
    <s v="Yes"/>
    <x v="0"/>
    <x v="6"/>
    <n v="15"/>
  </r>
  <r>
    <n v="3357"/>
    <s v="Patricia Soares"/>
    <x v="1"/>
    <d v="2024-07-01T00:00:00"/>
    <x v="1"/>
    <x v="1"/>
    <x v="0"/>
    <s v="No"/>
    <x v="1"/>
    <s v="No"/>
    <x v="1"/>
    <x v="4"/>
    <n v="4"/>
  </r>
  <r>
    <n v="3358"/>
    <s v="Quênia Barros"/>
    <x v="0"/>
    <d v="2024-07-02T00:00:00"/>
    <x v="0"/>
    <x v="0"/>
    <x v="1"/>
    <s v="Yes"/>
    <x v="0"/>
    <s v="Yes"/>
    <x v="0"/>
    <x v="3"/>
    <n v="62"/>
  </r>
  <r>
    <n v="3359"/>
    <s v="Rafael Torres"/>
    <x v="2"/>
    <d v="2024-07-03T00:00:00"/>
    <x v="1"/>
    <x v="2"/>
    <x v="0"/>
    <s v="No"/>
    <x v="1"/>
    <s v="Yes"/>
    <x v="0"/>
    <x v="2"/>
    <n v="20"/>
  </r>
  <r>
    <n v="3360"/>
    <s v="Silvia Nascimento"/>
    <x v="1"/>
    <d v="2024-07-04T00:00:00"/>
    <x v="0"/>
    <x v="1"/>
    <x v="2"/>
    <s v="No"/>
    <x v="1"/>
    <s v="No"/>
    <x v="1"/>
    <x v="1"/>
    <n v="5"/>
  </r>
  <r>
    <n v="3361"/>
    <s v="Tiago Mendes"/>
    <x v="0"/>
    <d v="2024-07-05T00:00:00"/>
    <x v="1"/>
    <x v="0"/>
    <x v="0"/>
    <s v="Yes"/>
    <x v="0"/>
    <s v="Yes"/>
    <x v="0"/>
    <x v="6"/>
    <n v="50"/>
  </r>
  <r>
    <n v="3362"/>
    <s v="Ursula Silva"/>
    <x v="2"/>
    <d v="2024-07-06T00:00:00"/>
    <x v="0"/>
    <x v="2"/>
    <x v="1"/>
    <s v="No"/>
    <x v="1"/>
    <s v="Yes"/>
    <x v="0"/>
    <x v="6"/>
    <n v="15"/>
  </r>
  <r>
    <n v="3363"/>
    <s v="Vanessa Moraes"/>
    <x v="1"/>
    <d v="2024-07-07T00:00:00"/>
    <x v="1"/>
    <x v="1"/>
    <x v="0"/>
    <s v="No"/>
    <x v="1"/>
    <s v="No"/>
    <x v="1"/>
    <x v="4"/>
    <n v="4"/>
  </r>
  <r>
    <n v="3364"/>
    <s v="Waldir Junior"/>
    <x v="0"/>
    <d v="2024-07-08T00:00:00"/>
    <x v="0"/>
    <x v="0"/>
    <x v="2"/>
    <s v="Yes"/>
    <x v="0"/>
    <s v="Yes"/>
    <x v="0"/>
    <x v="10"/>
    <n v="58"/>
  </r>
  <r>
    <n v="3365"/>
    <s v="Xavier Lopes"/>
    <x v="2"/>
    <d v="2024-07-09T00:00:00"/>
    <x v="1"/>
    <x v="2"/>
    <x v="0"/>
    <s v="No"/>
    <x v="1"/>
    <s v="Yes"/>
    <x v="0"/>
    <x v="2"/>
    <n v="20"/>
  </r>
  <r>
    <n v="3366"/>
    <s v="Yolanda Freitas"/>
    <x v="1"/>
    <d v="2024-07-10T00:00:00"/>
    <x v="0"/>
    <x v="1"/>
    <x v="0"/>
    <s v="No"/>
    <x v="1"/>
    <s v="No"/>
    <x v="1"/>
    <x v="1"/>
    <n v="5"/>
  </r>
  <r>
    <n v="3367"/>
    <s v="Zacarias Nunes"/>
    <x v="0"/>
    <d v="2024-07-11T00:00:00"/>
    <x v="1"/>
    <x v="0"/>
    <x v="2"/>
    <s v="Yes"/>
    <x v="0"/>
    <s v="Yes"/>
    <x v="0"/>
    <x v="10"/>
    <n v="58"/>
  </r>
  <r>
    <n v="3368"/>
    <s v="Ana Clara Barreto"/>
    <x v="2"/>
    <d v="2024-07-12T00:00:00"/>
    <x v="0"/>
    <x v="2"/>
    <x v="1"/>
    <s v="No"/>
    <x v="1"/>
    <s v="Yes"/>
    <x v="0"/>
    <x v="2"/>
    <n v="20"/>
  </r>
  <r>
    <n v="3369"/>
    <s v="Bruno Henrique"/>
    <x v="1"/>
    <d v="2024-07-13T00:00:00"/>
    <x v="1"/>
    <x v="1"/>
    <x v="2"/>
    <s v="No"/>
    <x v="1"/>
    <s v="No"/>
    <x v="1"/>
    <x v="4"/>
    <n v="4"/>
  </r>
  <r>
    <n v="3370"/>
    <s v="Carlos Eduardo"/>
    <x v="0"/>
    <d v="2024-07-14T00:00:00"/>
    <x v="0"/>
    <x v="0"/>
    <x v="0"/>
    <s v="Yes"/>
    <x v="0"/>
    <s v="Yes"/>
    <x v="0"/>
    <x v="6"/>
    <n v="50"/>
  </r>
  <r>
    <n v="3371"/>
    <s v="Débora Lima"/>
    <x v="2"/>
    <d v="2024-07-15T00:00:00"/>
    <x v="1"/>
    <x v="2"/>
    <x v="0"/>
    <s v="No"/>
    <x v="1"/>
    <s v="Yes"/>
    <x v="0"/>
    <x v="0"/>
    <n v="25"/>
  </r>
  <r>
    <n v="3372"/>
    <s v="Elisa Neves"/>
    <x v="1"/>
    <d v="2024-07-16T00:00:00"/>
    <x v="0"/>
    <x v="1"/>
    <x v="1"/>
    <s v="No"/>
    <x v="1"/>
    <s v="No"/>
    <x v="1"/>
    <x v="1"/>
    <n v="5"/>
  </r>
  <r>
    <n v="3373"/>
    <s v="Fabiano Gomes"/>
    <x v="0"/>
    <d v="2024-07-17T00:00:00"/>
    <x v="1"/>
    <x v="0"/>
    <x v="2"/>
    <s v="Yes"/>
    <x v="0"/>
    <s v="Yes"/>
    <x v="0"/>
    <x v="7"/>
    <n v="45"/>
  </r>
  <r>
    <n v="3374"/>
    <s v="Gisele Oliveira"/>
    <x v="2"/>
    <d v="2024-07-18T00:00:00"/>
    <x v="0"/>
    <x v="2"/>
    <x v="2"/>
    <s v="No"/>
    <x v="1"/>
    <s v="Yes"/>
    <x v="0"/>
    <x v="9"/>
    <n v="18"/>
  </r>
  <r>
    <n v="3375"/>
    <s v="Héctor Silva"/>
    <x v="1"/>
    <d v="2024-07-19T00:00:00"/>
    <x v="1"/>
    <x v="1"/>
    <x v="0"/>
    <s v="No"/>
    <x v="1"/>
    <s v="No"/>
    <x v="1"/>
    <x v="5"/>
    <n v="3"/>
  </r>
  <r>
    <n v="3376"/>
    <s v="Igor Martins"/>
    <x v="0"/>
    <d v="2024-07-20T00:00:00"/>
    <x v="0"/>
    <x v="0"/>
    <x v="1"/>
    <s v="Yes"/>
    <x v="0"/>
    <s v="Yes"/>
    <x v="0"/>
    <x v="0"/>
    <n v="60"/>
  </r>
  <r>
    <n v="3377"/>
    <s v="Joana Figueiredo"/>
    <x v="2"/>
    <d v="2024-07-21T00:00:00"/>
    <x v="1"/>
    <x v="2"/>
    <x v="0"/>
    <s v="No"/>
    <x v="1"/>
    <s v="Yes"/>
    <x v="0"/>
    <x v="2"/>
    <n v="20"/>
  </r>
  <r>
    <n v="3378"/>
    <s v="Kleber Machado"/>
    <x v="1"/>
    <d v="2024-07-22T00:00:00"/>
    <x v="0"/>
    <x v="1"/>
    <x v="2"/>
    <s v="No"/>
    <x v="1"/>
    <s v="No"/>
    <x v="1"/>
    <x v="1"/>
    <n v="5"/>
  </r>
  <r>
    <n v="3379"/>
    <s v="Luciana Santos"/>
    <x v="0"/>
    <d v="2024-07-23T00:00:00"/>
    <x v="1"/>
    <x v="0"/>
    <x v="0"/>
    <s v="Yes"/>
    <x v="0"/>
    <s v="Yes"/>
    <x v="0"/>
    <x v="3"/>
    <n v="62"/>
  </r>
  <r>
    <n v="3380"/>
    <s v="Marcos Teixeira"/>
    <x v="2"/>
    <d v="2024-07-24T00:00:00"/>
    <x v="0"/>
    <x v="2"/>
    <x v="1"/>
    <s v="No"/>
    <x v="1"/>
    <s v="Yes"/>
    <x v="0"/>
    <x v="6"/>
    <n v="15"/>
  </r>
  <r>
    <n v="3381"/>
    <s v="Natalia Costa"/>
    <x v="1"/>
    <d v="2024-07-25T00:00:00"/>
    <x v="1"/>
    <x v="1"/>
    <x v="0"/>
    <s v="No"/>
    <x v="1"/>
    <s v="No"/>
    <x v="1"/>
    <x v="4"/>
    <n v="4"/>
  </r>
  <r>
    <n v="3382"/>
    <s v="Oscar Ribeiro"/>
    <x v="0"/>
    <d v="2024-07-26T00:00:00"/>
    <x v="0"/>
    <x v="0"/>
    <x v="2"/>
    <s v="Yes"/>
    <x v="0"/>
    <s v="Yes"/>
    <x v="0"/>
    <x v="10"/>
    <n v="58"/>
  </r>
  <r>
    <n v="3383"/>
    <s v="Patricia Almeida"/>
    <x v="2"/>
    <d v="2024-07-27T00:00:00"/>
    <x v="1"/>
    <x v="2"/>
    <x v="0"/>
    <s v="No"/>
    <x v="1"/>
    <s v="Yes"/>
    <x v="0"/>
    <x v="2"/>
    <n v="20"/>
  </r>
  <r>
    <n v="3384"/>
    <s v="Quirino Junior"/>
    <x v="1"/>
    <d v="2024-07-28T00:00:00"/>
    <x v="0"/>
    <x v="1"/>
    <x v="1"/>
    <s v="No"/>
    <x v="1"/>
    <s v="No"/>
    <x v="1"/>
    <x v="1"/>
    <n v="5"/>
  </r>
  <r>
    <n v="3385"/>
    <s v="Renata Machado"/>
    <x v="0"/>
    <d v="2024-07-29T00:00:00"/>
    <x v="1"/>
    <x v="0"/>
    <x v="0"/>
    <s v="Yes"/>
    <x v="0"/>
    <s v="Yes"/>
    <x v="0"/>
    <x v="7"/>
    <n v="45"/>
  </r>
  <r>
    <n v="3386"/>
    <s v="Sônia Alves"/>
    <x v="2"/>
    <d v="2024-07-30T00:00:00"/>
    <x v="0"/>
    <x v="2"/>
    <x v="2"/>
    <s v="No"/>
    <x v="1"/>
    <s v="Yes"/>
    <x v="0"/>
    <x v="6"/>
    <n v="15"/>
  </r>
  <r>
    <n v="3387"/>
    <s v="Tiago Nunes"/>
    <x v="1"/>
    <d v="2024-07-31T00:00:00"/>
    <x v="1"/>
    <x v="1"/>
    <x v="0"/>
    <s v="No"/>
    <x v="1"/>
    <s v="No"/>
    <x v="1"/>
    <x v="4"/>
    <n v="4"/>
  </r>
  <r>
    <n v="3388"/>
    <s v="Ulysses Pereira"/>
    <x v="0"/>
    <d v="2024-08-01T00:00:00"/>
    <x v="0"/>
    <x v="0"/>
    <x v="1"/>
    <s v="Yes"/>
    <x v="0"/>
    <s v="Yes"/>
    <x v="0"/>
    <x v="3"/>
    <n v="62"/>
  </r>
  <r>
    <n v="3389"/>
    <s v="Vanessa Lima"/>
    <x v="2"/>
    <d v="2024-08-02T00:00:00"/>
    <x v="1"/>
    <x v="2"/>
    <x v="0"/>
    <s v="No"/>
    <x v="1"/>
    <s v="Yes"/>
    <x v="0"/>
    <x v="2"/>
    <n v="20"/>
  </r>
  <r>
    <n v="3390"/>
    <s v="Wagner Santos"/>
    <x v="1"/>
    <d v="2024-08-03T00:00:00"/>
    <x v="0"/>
    <x v="1"/>
    <x v="2"/>
    <s v="No"/>
    <x v="1"/>
    <s v="No"/>
    <x v="1"/>
    <x v="1"/>
    <n v="5"/>
  </r>
  <r>
    <n v="3391"/>
    <s v="Xuxa Meneghel"/>
    <x v="0"/>
    <d v="2024-08-04T00:00:00"/>
    <x v="1"/>
    <x v="0"/>
    <x v="0"/>
    <s v="Yes"/>
    <x v="0"/>
    <s v="Yes"/>
    <x v="0"/>
    <x v="6"/>
    <n v="50"/>
  </r>
  <r>
    <n v="3392"/>
    <s v="Yasmin Silva"/>
    <x v="2"/>
    <d v="2024-08-05T00:00:00"/>
    <x v="0"/>
    <x v="2"/>
    <x v="1"/>
    <s v="No"/>
    <x v="1"/>
    <s v="Yes"/>
    <x v="0"/>
    <x v="6"/>
    <n v="15"/>
  </r>
  <r>
    <n v="3393"/>
    <s v="Zacarias de Souza"/>
    <x v="1"/>
    <d v="2024-08-06T00:00:00"/>
    <x v="1"/>
    <x v="1"/>
    <x v="0"/>
    <s v="No"/>
    <x v="1"/>
    <s v="No"/>
    <x v="1"/>
    <x v="4"/>
    <n v="4"/>
  </r>
  <r>
    <n v="3394"/>
    <s v="André Lima"/>
    <x v="0"/>
    <d v="2024-08-07T00:00:00"/>
    <x v="0"/>
    <x v="0"/>
    <x v="2"/>
    <s v="Yes"/>
    <x v="0"/>
    <s v="Yes"/>
    <x v="0"/>
    <x v="10"/>
    <n v="58"/>
  </r>
  <r>
    <n v="3395"/>
    <s v="Bianca Freitas"/>
    <x v="2"/>
    <d v="2024-08-08T00:00:00"/>
    <x v="1"/>
    <x v="2"/>
    <x v="0"/>
    <s v="No"/>
    <x v="1"/>
    <s v="Yes"/>
    <x v="0"/>
    <x v="2"/>
    <n v="20"/>
  </r>
  <r>
    <n v="3396"/>
    <s v="Caio Mendes"/>
    <x v="1"/>
    <d v="2024-08-09T00:00:00"/>
    <x v="0"/>
    <x v="1"/>
    <x v="1"/>
    <s v="No"/>
    <x v="1"/>
    <s v="No"/>
    <x v="1"/>
    <x v="1"/>
    <n v="5"/>
  </r>
  <r>
    <n v="3397"/>
    <s v="Daniela Moura"/>
    <x v="0"/>
    <d v="2024-08-10T00:00:00"/>
    <x v="1"/>
    <x v="0"/>
    <x v="0"/>
    <s v="Yes"/>
    <x v="0"/>
    <s v="Yes"/>
    <x v="0"/>
    <x v="7"/>
    <n v="45"/>
  </r>
  <r>
    <n v="3398"/>
    <s v="Eduardo Costa"/>
    <x v="2"/>
    <d v="2024-08-11T00:00:00"/>
    <x v="0"/>
    <x v="2"/>
    <x v="2"/>
    <s v="No"/>
    <x v="1"/>
    <s v="Yes"/>
    <x v="0"/>
    <x v="6"/>
    <n v="15"/>
  </r>
  <r>
    <n v="3399"/>
    <s v="Fernanda Gomes"/>
    <x v="1"/>
    <d v="2024-08-12T00:00:00"/>
    <x v="1"/>
    <x v="1"/>
    <x v="0"/>
    <s v="No"/>
    <x v="1"/>
    <s v="No"/>
    <x v="1"/>
    <x v="4"/>
    <n v="4"/>
  </r>
  <r>
    <n v="3400"/>
    <s v="Guilherme Souza"/>
    <x v="0"/>
    <d v="2024-08-13T00:00:00"/>
    <x v="0"/>
    <x v="0"/>
    <x v="1"/>
    <s v="Yes"/>
    <x v="0"/>
    <s v="Yes"/>
    <x v="0"/>
    <x v="0"/>
    <n v="60"/>
  </r>
  <r>
    <n v="3401"/>
    <s v="Helena Ribeiro"/>
    <x v="2"/>
    <d v="2024-08-14T00:00:00"/>
    <x v="1"/>
    <x v="2"/>
    <x v="0"/>
    <s v="No"/>
    <x v="1"/>
    <s v="Yes"/>
    <x v="0"/>
    <x v="2"/>
    <n v="20"/>
  </r>
  <r>
    <n v="3402"/>
    <s v="Igor Santos"/>
    <x v="1"/>
    <d v="2024-08-15T00:00:00"/>
    <x v="0"/>
    <x v="1"/>
    <x v="2"/>
    <s v="No"/>
    <x v="1"/>
    <s v="No"/>
    <x v="1"/>
    <x v="1"/>
    <n v="5"/>
  </r>
  <r>
    <n v="3403"/>
    <s v="João Carvalho"/>
    <x v="0"/>
    <d v="2024-08-16T00:00:00"/>
    <x v="1"/>
    <x v="0"/>
    <x v="0"/>
    <s v="Yes"/>
    <x v="0"/>
    <s v="Yes"/>
    <x v="0"/>
    <x v="3"/>
    <n v="62"/>
  </r>
  <r>
    <n v="3404"/>
    <s v="Klara Fagundes"/>
    <x v="2"/>
    <d v="2024-08-17T00:00:00"/>
    <x v="0"/>
    <x v="2"/>
    <x v="1"/>
    <s v="No"/>
    <x v="1"/>
    <s v="Yes"/>
    <x v="0"/>
    <x v="6"/>
    <n v="15"/>
  </r>
  <r>
    <n v="3405"/>
    <s v="Lúcia Mendonça"/>
    <x v="1"/>
    <d v="2024-08-18T00:00:00"/>
    <x v="1"/>
    <x v="1"/>
    <x v="0"/>
    <s v="No"/>
    <x v="1"/>
    <s v="No"/>
    <x v="1"/>
    <x v="4"/>
    <n v="4"/>
  </r>
  <r>
    <n v="3406"/>
    <s v="Marcelo Novaes"/>
    <x v="1"/>
    <d v="2024-08-19T00:00:00"/>
    <x v="0"/>
    <x v="1"/>
    <x v="0"/>
    <s v="No"/>
    <x v="1"/>
    <s v="No"/>
    <x v="1"/>
    <x v="1"/>
    <n v="5"/>
  </r>
  <r>
    <n v="3407"/>
    <s v="Nina Pacheco"/>
    <x v="0"/>
    <d v="2024-08-20T00:00:00"/>
    <x v="1"/>
    <x v="0"/>
    <x v="2"/>
    <s v="Yes"/>
    <x v="0"/>
    <s v="Yes"/>
    <x v="0"/>
    <x v="10"/>
    <n v="58"/>
  </r>
  <r>
    <n v="3408"/>
    <s v="Olívia Rios"/>
    <x v="2"/>
    <d v="2024-08-21T00:00:00"/>
    <x v="0"/>
    <x v="2"/>
    <x v="1"/>
    <s v="No"/>
    <x v="1"/>
    <s v="Yes"/>
    <x v="0"/>
    <x v="2"/>
    <n v="20"/>
  </r>
  <r>
    <n v="3409"/>
    <s v="Paulo Quintana"/>
    <x v="1"/>
    <d v="2024-08-22T00:00:00"/>
    <x v="1"/>
    <x v="1"/>
    <x v="2"/>
    <s v="No"/>
    <x v="1"/>
    <s v="No"/>
    <x v="1"/>
    <x v="4"/>
    <n v="4"/>
  </r>
  <r>
    <n v="3410"/>
    <s v="Raquel Domingos"/>
    <x v="0"/>
    <d v="2024-08-23T00:00:00"/>
    <x v="0"/>
    <x v="0"/>
    <x v="0"/>
    <s v="Yes"/>
    <x v="0"/>
    <s v="Yes"/>
    <x v="0"/>
    <x v="6"/>
    <n v="50"/>
  </r>
  <r>
    <n v="3411"/>
    <s v="Samuel Viana"/>
    <x v="2"/>
    <d v="2024-08-24T00:00:00"/>
    <x v="1"/>
    <x v="2"/>
    <x v="0"/>
    <s v="No"/>
    <x v="1"/>
    <s v="Yes"/>
    <x v="0"/>
    <x v="0"/>
    <n v="25"/>
  </r>
  <r>
    <n v="3412"/>
    <s v="Tatiane Rocha"/>
    <x v="1"/>
    <d v="2024-08-25T00:00:00"/>
    <x v="0"/>
    <x v="1"/>
    <x v="1"/>
    <s v="No"/>
    <x v="1"/>
    <s v="No"/>
    <x v="1"/>
    <x v="1"/>
    <n v="5"/>
  </r>
  <r>
    <n v="3413"/>
    <s v="Ulysses Farias"/>
    <x v="0"/>
    <d v="2024-08-26T00:00:00"/>
    <x v="1"/>
    <x v="0"/>
    <x v="2"/>
    <s v="Yes"/>
    <x v="0"/>
    <s v="Yes"/>
    <x v="0"/>
    <x v="7"/>
    <n v="45"/>
  </r>
  <r>
    <n v="3414"/>
    <s v="Vanessa Moreira"/>
    <x v="2"/>
    <d v="2024-08-27T00:00:00"/>
    <x v="0"/>
    <x v="2"/>
    <x v="2"/>
    <s v="No"/>
    <x v="1"/>
    <s v="Yes"/>
    <x v="0"/>
    <x v="9"/>
    <n v="18"/>
  </r>
  <r>
    <n v="3415"/>
    <s v="William Carvalho"/>
    <x v="1"/>
    <d v="2024-08-28T00:00:00"/>
    <x v="1"/>
    <x v="1"/>
    <x v="0"/>
    <s v="No"/>
    <x v="1"/>
    <s v="No"/>
    <x v="1"/>
    <x v="5"/>
    <n v="3"/>
  </r>
  <r>
    <n v="3416"/>
    <s v="Ximena Barros"/>
    <x v="0"/>
    <d v="2024-08-29T00:00:00"/>
    <x v="0"/>
    <x v="0"/>
    <x v="1"/>
    <s v="Yes"/>
    <x v="0"/>
    <s v="Yes"/>
    <x v="0"/>
    <x v="0"/>
    <n v="60"/>
  </r>
  <r>
    <n v="3417"/>
    <s v="Yara Machado"/>
    <x v="2"/>
    <d v="2024-08-30T00:00:00"/>
    <x v="1"/>
    <x v="2"/>
    <x v="0"/>
    <s v="No"/>
    <x v="1"/>
    <s v="Yes"/>
    <x v="0"/>
    <x v="2"/>
    <n v="20"/>
  </r>
  <r>
    <n v="3418"/>
    <s v="Zacarias Costa"/>
    <x v="1"/>
    <d v="2024-08-31T00:00:00"/>
    <x v="0"/>
    <x v="1"/>
    <x v="2"/>
    <s v="No"/>
    <x v="1"/>
    <s v="No"/>
    <x v="1"/>
    <x v="1"/>
    <n v="5"/>
  </r>
  <r>
    <n v="3419"/>
    <s v="André Lopes"/>
    <x v="0"/>
    <d v="2024-09-01T00:00:00"/>
    <x v="1"/>
    <x v="0"/>
    <x v="0"/>
    <s v="Yes"/>
    <x v="0"/>
    <s v="Yes"/>
    <x v="0"/>
    <x v="3"/>
    <n v="62"/>
  </r>
  <r>
    <n v="3420"/>
    <s v="Beatriz Souza"/>
    <x v="2"/>
    <d v="2024-09-02T00:00:00"/>
    <x v="0"/>
    <x v="2"/>
    <x v="1"/>
    <s v="No"/>
    <x v="1"/>
    <s v="Yes"/>
    <x v="0"/>
    <x v="6"/>
    <n v="15"/>
  </r>
  <r>
    <n v="3421"/>
    <s v="Caio Pereira"/>
    <x v="1"/>
    <d v="2024-09-03T00:00:00"/>
    <x v="1"/>
    <x v="1"/>
    <x v="0"/>
    <s v="No"/>
    <x v="1"/>
    <s v="No"/>
    <x v="1"/>
    <x v="4"/>
    <n v="4"/>
  </r>
  <r>
    <n v="3422"/>
    <s v="Daniela Araújo"/>
    <x v="0"/>
    <d v="2024-09-04T00:00:00"/>
    <x v="0"/>
    <x v="0"/>
    <x v="2"/>
    <s v="Yes"/>
    <x v="0"/>
    <s v="Yes"/>
    <x v="0"/>
    <x v="10"/>
    <n v="58"/>
  </r>
  <r>
    <n v="3423"/>
    <s v="Eduardo Santos"/>
    <x v="2"/>
    <d v="2024-09-05T00:00:00"/>
    <x v="1"/>
    <x v="2"/>
    <x v="0"/>
    <s v="No"/>
    <x v="1"/>
    <s v="Yes"/>
    <x v="0"/>
    <x v="2"/>
    <n v="20"/>
  </r>
  <r>
    <n v="3424"/>
    <s v="Fernanda Lima"/>
    <x v="1"/>
    <d v="2024-09-06T00:00:00"/>
    <x v="0"/>
    <x v="1"/>
    <x v="1"/>
    <s v="No"/>
    <x v="1"/>
    <s v="No"/>
    <x v="1"/>
    <x v="1"/>
    <n v="5"/>
  </r>
  <r>
    <n v="3425"/>
    <s v="Gabriel Teixeira"/>
    <x v="0"/>
    <d v="2024-09-07T00:00:00"/>
    <x v="1"/>
    <x v="0"/>
    <x v="0"/>
    <s v="Yes"/>
    <x v="0"/>
    <s v="Yes"/>
    <x v="0"/>
    <x v="7"/>
    <n v="45"/>
  </r>
  <r>
    <n v="3426"/>
    <s v="Helena Ribeiro"/>
    <x v="2"/>
    <d v="2024-09-08T00:00:00"/>
    <x v="0"/>
    <x v="2"/>
    <x v="2"/>
    <s v="No"/>
    <x v="1"/>
    <s v="Yes"/>
    <x v="0"/>
    <x v="6"/>
    <n v="15"/>
  </r>
  <r>
    <n v="3427"/>
    <s v="Igor Mendes"/>
    <x v="1"/>
    <d v="2024-09-09T00:00:00"/>
    <x v="1"/>
    <x v="1"/>
    <x v="0"/>
    <s v="No"/>
    <x v="1"/>
    <s v="No"/>
    <x v="1"/>
    <x v="4"/>
    <n v="4"/>
  </r>
  <r>
    <n v="3428"/>
    <s v="Joana Silveira"/>
    <x v="0"/>
    <d v="2024-09-10T00:00:00"/>
    <x v="0"/>
    <x v="0"/>
    <x v="1"/>
    <s v="Yes"/>
    <x v="0"/>
    <s v="Yes"/>
    <x v="0"/>
    <x v="3"/>
    <n v="62"/>
  </r>
  <r>
    <n v="3429"/>
    <s v="Lucas Martins"/>
    <x v="2"/>
    <d v="2024-09-11T00:00:00"/>
    <x v="1"/>
    <x v="2"/>
    <x v="0"/>
    <s v="No"/>
    <x v="1"/>
    <s v="Yes"/>
    <x v="0"/>
    <x v="2"/>
    <n v="20"/>
  </r>
  <r>
    <n v="3430"/>
    <s v="Marcela Gouveia"/>
    <x v="1"/>
    <d v="2024-09-12T00:00:00"/>
    <x v="0"/>
    <x v="1"/>
    <x v="2"/>
    <s v="No"/>
    <x v="1"/>
    <s v="No"/>
    <x v="1"/>
    <x v="1"/>
    <n v="5"/>
  </r>
  <r>
    <n v="3431"/>
    <s v="Nicolas Borges"/>
    <x v="0"/>
    <d v="2024-09-13T00:00:00"/>
    <x v="1"/>
    <x v="0"/>
    <x v="0"/>
    <s v="Yes"/>
    <x v="0"/>
    <s v="Yes"/>
    <x v="0"/>
    <x v="6"/>
    <n v="50"/>
  </r>
  <r>
    <n v="3432"/>
    <s v="Olivia Freitas"/>
    <x v="2"/>
    <d v="2024-09-14T00:00:00"/>
    <x v="0"/>
    <x v="2"/>
    <x v="1"/>
    <s v="No"/>
    <x v="1"/>
    <s v="Yes"/>
    <x v="0"/>
    <x v="6"/>
    <n v="15"/>
  </r>
  <r>
    <n v="3433"/>
    <s v="Paulo Nogueira"/>
    <x v="1"/>
    <d v="2024-09-15T00:00:00"/>
    <x v="1"/>
    <x v="1"/>
    <x v="0"/>
    <s v="No"/>
    <x v="1"/>
    <s v="No"/>
    <x v="1"/>
    <x v="4"/>
    <n v="4"/>
  </r>
  <r>
    <n v="3434"/>
    <s v="Raquel Andrade"/>
    <x v="0"/>
    <d v="2024-09-16T00:00:00"/>
    <x v="0"/>
    <x v="0"/>
    <x v="2"/>
    <s v="Yes"/>
    <x v="0"/>
    <s v="Yes"/>
    <x v="0"/>
    <x v="10"/>
    <n v="58"/>
  </r>
  <r>
    <n v="3435"/>
    <s v="Sônia Carvalho"/>
    <x v="2"/>
    <d v="2024-09-17T00:00:00"/>
    <x v="1"/>
    <x v="2"/>
    <x v="0"/>
    <s v="No"/>
    <x v="1"/>
    <s v="Yes"/>
    <x v="0"/>
    <x v="2"/>
    <n v="20"/>
  </r>
  <r>
    <n v="3436"/>
    <s v="Tiago Rodrigues"/>
    <x v="1"/>
    <d v="2024-09-18T00:00:00"/>
    <x v="0"/>
    <x v="1"/>
    <x v="0"/>
    <s v="No"/>
    <x v="1"/>
    <s v="No"/>
    <x v="1"/>
    <x v="1"/>
    <n v="5"/>
  </r>
  <r>
    <n v="3437"/>
    <s v="Ursula Monteiro"/>
    <x v="0"/>
    <d v="2024-09-19T00:00:00"/>
    <x v="1"/>
    <x v="0"/>
    <x v="2"/>
    <s v="Yes"/>
    <x v="0"/>
    <s v="Yes"/>
    <x v="0"/>
    <x v="10"/>
    <n v="58"/>
  </r>
  <r>
    <n v="3438"/>
    <s v="Vanessa Pereira"/>
    <x v="2"/>
    <d v="2024-09-20T00:00:00"/>
    <x v="0"/>
    <x v="2"/>
    <x v="1"/>
    <s v="No"/>
    <x v="1"/>
    <s v="Yes"/>
    <x v="0"/>
    <x v="2"/>
    <n v="20"/>
  </r>
  <r>
    <n v="3439"/>
    <s v="Walter Silva"/>
    <x v="1"/>
    <d v="2024-09-21T00:00:00"/>
    <x v="1"/>
    <x v="1"/>
    <x v="2"/>
    <s v="No"/>
    <x v="1"/>
    <s v="No"/>
    <x v="1"/>
    <x v="4"/>
    <n v="4"/>
  </r>
  <r>
    <n v="3440"/>
    <s v="Xavier Almeida"/>
    <x v="0"/>
    <d v="2024-09-22T00:00:00"/>
    <x v="0"/>
    <x v="0"/>
    <x v="0"/>
    <s v="Yes"/>
    <x v="0"/>
    <s v="Yes"/>
    <x v="0"/>
    <x v="6"/>
    <n v="50"/>
  </r>
  <r>
    <n v="3441"/>
    <s v="Yasmine Correia"/>
    <x v="2"/>
    <d v="2024-09-23T00:00:00"/>
    <x v="1"/>
    <x v="2"/>
    <x v="0"/>
    <s v="No"/>
    <x v="1"/>
    <s v="Yes"/>
    <x v="0"/>
    <x v="0"/>
    <n v="25"/>
  </r>
  <r>
    <n v="3442"/>
    <s v="Zacarias Almeida"/>
    <x v="1"/>
    <d v="2024-09-24T00:00:00"/>
    <x v="0"/>
    <x v="1"/>
    <x v="1"/>
    <s v="No"/>
    <x v="1"/>
    <s v="No"/>
    <x v="1"/>
    <x v="1"/>
    <n v="5"/>
  </r>
  <r>
    <n v="3443"/>
    <s v="Amanda Costa"/>
    <x v="0"/>
    <d v="2024-09-25T00:00:00"/>
    <x v="1"/>
    <x v="0"/>
    <x v="2"/>
    <s v="Yes"/>
    <x v="0"/>
    <s v="Yes"/>
    <x v="0"/>
    <x v="7"/>
    <n v="45"/>
  </r>
  <r>
    <n v="3444"/>
    <s v="Bruno Ferreira"/>
    <x v="2"/>
    <d v="2024-09-26T00:00:00"/>
    <x v="0"/>
    <x v="2"/>
    <x v="2"/>
    <s v="No"/>
    <x v="1"/>
    <s v="Yes"/>
    <x v="0"/>
    <x v="9"/>
    <n v="18"/>
  </r>
  <r>
    <n v="3445"/>
    <s v="Carla Dias"/>
    <x v="1"/>
    <d v="2024-09-27T00:00:00"/>
    <x v="1"/>
    <x v="1"/>
    <x v="0"/>
    <s v="No"/>
    <x v="1"/>
    <s v="No"/>
    <x v="1"/>
    <x v="5"/>
    <n v="3"/>
  </r>
  <r>
    <n v="3446"/>
    <s v="Diogo Martins"/>
    <x v="0"/>
    <d v="2024-09-28T00:00:00"/>
    <x v="0"/>
    <x v="0"/>
    <x v="1"/>
    <s v="Yes"/>
    <x v="0"/>
    <s v="Yes"/>
    <x v="0"/>
    <x v="0"/>
    <n v="60"/>
  </r>
  <r>
    <n v="3447"/>
    <s v="Elisa Campos"/>
    <x v="2"/>
    <d v="2024-09-29T00:00:00"/>
    <x v="1"/>
    <x v="2"/>
    <x v="0"/>
    <s v="No"/>
    <x v="1"/>
    <s v="Yes"/>
    <x v="0"/>
    <x v="2"/>
    <n v="20"/>
  </r>
  <r>
    <n v="3448"/>
    <s v="Fabiana Lima"/>
    <x v="1"/>
    <d v="2024-09-30T00:00:00"/>
    <x v="0"/>
    <x v="1"/>
    <x v="2"/>
    <s v="No"/>
    <x v="1"/>
    <s v="No"/>
    <x v="1"/>
    <x v="1"/>
    <n v="5"/>
  </r>
  <r>
    <n v="3449"/>
    <s v="Gabriel Santos"/>
    <x v="0"/>
    <d v="2024-10-01T00:00:00"/>
    <x v="1"/>
    <x v="0"/>
    <x v="0"/>
    <s v="Yes"/>
    <x v="0"/>
    <s v="Yes"/>
    <x v="0"/>
    <x v="3"/>
    <n v="62"/>
  </r>
  <r>
    <n v="3450"/>
    <s v="Helena Ferreira"/>
    <x v="2"/>
    <d v="2024-10-02T00:00:00"/>
    <x v="0"/>
    <x v="2"/>
    <x v="1"/>
    <s v="No"/>
    <x v="1"/>
    <s v="Yes"/>
    <x v="0"/>
    <x v="6"/>
    <n v="15"/>
  </r>
  <r>
    <n v="3451"/>
    <s v="Ígor Nunes"/>
    <x v="1"/>
    <d v="2024-10-03T00:00:00"/>
    <x v="1"/>
    <x v="1"/>
    <x v="0"/>
    <s v="No"/>
    <x v="1"/>
    <s v="No"/>
    <x v="1"/>
    <x v="4"/>
    <n v="4"/>
  </r>
  <r>
    <n v="3452"/>
    <s v="Joana Silveira"/>
    <x v="0"/>
    <d v="2024-10-04T00:00:00"/>
    <x v="0"/>
    <x v="0"/>
    <x v="2"/>
    <s v="Yes"/>
    <x v="0"/>
    <s v="Yes"/>
    <x v="0"/>
    <x v="10"/>
    <n v="58"/>
  </r>
  <r>
    <n v="3453"/>
    <s v="Kléber Oliveira"/>
    <x v="2"/>
    <d v="2024-10-05T00:00:00"/>
    <x v="1"/>
    <x v="2"/>
    <x v="0"/>
    <s v="No"/>
    <x v="1"/>
    <s v="Yes"/>
    <x v="0"/>
    <x v="2"/>
    <n v="20"/>
  </r>
  <r>
    <n v="3454"/>
    <s v="Luciana Morais"/>
    <x v="1"/>
    <d v="2024-10-06T00:00:00"/>
    <x v="0"/>
    <x v="1"/>
    <x v="1"/>
    <s v="No"/>
    <x v="1"/>
    <s v="No"/>
    <x v="1"/>
    <x v="1"/>
    <n v="5"/>
  </r>
  <r>
    <n v="3455"/>
    <s v="Marcos Vinícius"/>
    <x v="0"/>
    <d v="2024-10-07T00:00:00"/>
    <x v="1"/>
    <x v="0"/>
    <x v="0"/>
    <s v="Yes"/>
    <x v="0"/>
    <s v="Yes"/>
    <x v="0"/>
    <x v="7"/>
    <n v="45"/>
  </r>
  <r>
    <n v="3456"/>
    <s v="Natália Barros"/>
    <x v="2"/>
    <d v="2024-10-08T00:00:00"/>
    <x v="0"/>
    <x v="2"/>
    <x v="2"/>
    <s v="No"/>
    <x v="1"/>
    <s v="Yes"/>
    <x v="0"/>
    <x v="6"/>
    <n v="15"/>
  </r>
  <r>
    <n v="3457"/>
    <s v="Oscar Sampaio"/>
    <x v="1"/>
    <d v="2024-10-09T00:00:00"/>
    <x v="1"/>
    <x v="1"/>
    <x v="0"/>
    <s v="No"/>
    <x v="1"/>
    <s v="No"/>
    <x v="1"/>
    <x v="4"/>
    <n v="4"/>
  </r>
  <r>
    <n v="3458"/>
    <s v="Patrícia Leite"/>
    <x v="0"/>
    <d v="2024-10-10T00:00:00"/>
    <x v="0"/>
    <x v="0"/>
    <x v="1"/>
    <s v="Yes"/>
    <x v="0"/>
    <s v="Yes"/>
    <x v="0"/>
    <x v="3"/>
    <n v="62"/>
  </r>
  <r>
    <n v="3459"/>
    <s v="Quênia Rocha"/>
    <x v="2"/>
    <d v="2024-10-11T00:00:00"/>
    <x v="1"/>
    <x v="2"/>
    <x v="0"/>
    <s v="No"/>
    <x v="1"/>
    <s v="Yes"/>
    <x v="0"/>
    <x v="2"/>
    <n v="20"/>
  </r>
  <r>
    <n v="3460"/>
    <s v="Rafael Torres"/>
    <x v="1"/>
    <d v="2024-10-12T00:00:00"/>
    <x v="0"/>
    <x v="1"/>
    <x v="2"/>
    <s v="No"/>
    <x v="1"/>
    <s v="No"/>
    <x v="1"/>
    <x v="1"/>
    <n v="5"/>
  </r>
  <r>
    <n v="3461"/>
    <s v="Sandra Gouveia"/>
    <x v="0"/>
    <d v="2024-10-13T00:00:00"/>
    <x v="1"/>
    <x v="0"/>
    <x v="0"/>
    <s v="Yes"/>
    <x v="0"/>
    <s v="Yes"/>
    <x v="0"/>
    <x v="6"/>
    <n v="50"/>
  </r>
  <r>
    <n v="3462"/>
    <s v="Tiago Lacerda"/>
    <x v="2"/>
    <d v="2024-10-14T00:00:00"/>
    <x v="0"/>
    <x v="2"/>
    <x v="1"/>
    <s v="No"/>
    <x v="1"/>
    <s v="Yes"/>
    <x v="0"/>
    <x v="6"/>
    <n v="15"/>
  </r>
  <r>
    <n v="3463"/>
    <s v="Ursula Fonseca"/>
    <x v="1"/>
    <d v="2024-10-15T00:00:00"/>
    <x v="1"/>
    <x v="1"/>
    <x v="0"/>
    <s v="No"/>
    <x v="1"/>
    <s v="No"/>
    <x v="1"/>
    <x v="4"/>
    <n v="4"/>
  </r>
  <r>
    <n v="3464"/>
    <s v="Vanessa Andrade"/>
    <x v="0"/>
    <d v="2024-10-16T00:00:00"/>
    <x v="0"/>
    <x v="0"/>
    <x v="2"/>
    <s v="Yes"/>
    <x v="0"/>
    <s v="Yes"/>
    <x v="0"/>
    <x v="10"/>
    <n v="58"/>
  </r>
  <r>
    <n v="3465"/>
    <s v="William Castro"/>
    <x v="2"/>
    <d v="2024-10-17T00:00:00"/>
    <x v="1"/>
    <x v="2"/>
    <x v="0"/>
    <s v="No"/>
    <x v="1"/>
    <s v="Yes"/>
    <x v="0"/>
    <x v="2"/>
    <n v="20"/>
  </r>
  <r>
    <n v="3466"/>
    <s v="Xavier Monteiro"/>
    <x v="1"/>
    <d v="2024-10-18T00:00:00"/>
    <x v="0"/>
    <x v="1"/>
    <x v="1"/>
    <s v="No"/>
    <x v="1"/>
    <s v="No"/>
    <x v="1"/>
    <x v="1"/>
    <n v="5"/>
  </r>
  <r>
    <n v="3467"/>
    <s v="Yasmin Figueira"/>
    <x v="0"/>
    <d v="2024-10-19T00:00:00"/>
    <x v="1"/>
    <x v="0"/>
    <x v="0"/>
    <s v="Yes"/>
    <x v="0"/>
    <s v="Yes"/>
    <x v="0"/>
    <x v="6"/>
    <n v="50"/>
  </r>
  <r>
    <n v="3468"/>
    <s v="Zacarias Mendonça"/>
    <x v="2"/>
    <d v="2024-10-20T00:00:00"/>
    <x v="0"/>
    <x v="2"/>
    <x v="2"/>
    <s v="No"/>
    <x v="1"/>
    <s v="Yes"/>
    <x v="0"/>
    <x v="9"/>
    <n v="18"/>
  </r>
  <r>
    <n v="3469"/>
    <s v="Amanda Menezes"/>
    <x v="1"/>
    <d v="2024-10-21T00:00:00"/>
    <x v="1"/>
    <x v="1"/>
    <x v="0"/>
    <s v="No"/>
    <x v="1"/>
    <s v="No"/>
    <x v="1"/>
    <x v="5"/>
    <n v="3"/>
  </r>
  <r>
    <n v="3470"/>
    <s v="Bruno Santos"/>
    <x v="0"/>
    <d v="2024-10-22T00:00:00"/>
    <x v="0"/>
    <x v="0"/>
    <x v="1"/>
    <s v="Yes"/>
    <x v="0"/>
    <s v="Yes"/>
    <x v="0"/>
    <x v="0"/>
    <n v="60"/>
  </r>
  <r>
    <n v="3471"/>
    <s v="Carla Ferreira"/>
    <x v="2"/>
    <d v="2024-10-23T00:00:00"/>
    <x v="1"/>
    <x v="2"/>
    <x v="0"/>
    <s v="No"/>
    <x v="1"/>
    <s v="Yes"/>
    <x v="0"/>
    <x v="2"/>
    <n v="20"/>
  </r>
  <r>
    <n v="3472"/>
    <s v="Diogo Alves"/>
    <x v="1"/>
    <d v="2024-10-24T00:00:00"/>
    <x v="0"/>
    <x v="1"/>
    <x v="2"/>
    <s v="No"/>
    <x v="1"/>
    <s v="No"/>
    <x v="1"/>
    <x v="1"/>
    <n v="5"/>
  </r>
  <r>
    <n v="3473"/>
    <s v="Elisa Neves"/>
    <x v="0"/>
    <d v="2024-10-25T00:00:00"/>
    <x v="1"/>
    <x v="0"/>
    <x v="0"/>
    <s v="Yes"/>
    <x v="0"/>
    <s v="Yes"/>
    <x v="0"/>
    <x v="3"/>
    <n v="62"/>
  </r>
  <r>
    <n v="3474"/>
    <s v="Fabiano Pires"/>
    <x v="2"/>
    <d v="2024-10-26T00:00:00"/>
    <x v="0"/>
    <x v="2"/>
    <x v="1"/>
    <s v="No"/>
    <x v="1"/>
    <s v="Yes"/>
    <x v="0"/>
    <x v="6"/>
    <n v="15"/>
  </r>
  <r>
    <n v="3475"/>
    <s v="Giovana Ribeiro"/>
    <x v="1"/>
    <d v="2024-10-27T00:00:00"/>
    <x v="1"/>
    <x v="1"/>
    <x v="0"/>
    <s v="No"/>
    <x v="1"/>
    <s v="No"/>
    <x v="1"/>
    <x v="4"/>
    <n v="4"/>
  </r>
  <r>
    <n v="3476"/>
    <s v="Hélio Costa"/>
    <x v="0"/>
    <d v="2024-10-28T00:00:00"/>
    <x v="0"/>
    <x v="0"/>
    <x v="2"/>
    <s v="Yes"/>
    <x v="0"/>
    <s v="Yes"/>
    <x v="0"/>
    <x v="10"/>
    <n v="58"/>
  </r>
  <r>
    <n v="3477"/>
    <s v="Íris Loureiro"/>
    <x v="2"/>
    <d v="2024-10-29T00:00:00"/>
    <x v="1"/>
    <x v="2"/>
    <x v="0"/>
    <s v="No"/>
    <x v="1"/>
    <s v="Yes"/>
    <x v="0"/>
    <x v="2"/>
    <n v="20"/>
  </r>
  <r>
    <n v="3478"/>
    <s v="João Pereira"/>
    <x v="1"/>
    <d v="2024-10-30T00:00:00"/>
    <x v="0"/>
    <x v="1"/>
    <x v="1"/>
    <s v="No"/>
    <x v="1"/>
    <s v="No"/>
    <x v="1"/>
    <x v="1"/>
    <n v="5"/>
  </r>
  <r>
    <n v="3479"/>
    <s v="Klara Silva"/>
    <x v="0"/>
    <d v="2024-10-31T00:00:00"/>
    <x v="1"/>
    <x v="0"/>
    <x v="0"/>
    <s v="Yes"/>
    <x v="0"/>
    <s v="Yes"/>
    <x v="0"/>
    <x v="7"/>
    <n v="45"/>
  </r>
  <r>
    <n v="3480"/>
    <s v="Luciana Barros"/>
    <x v="2"/>
    <d v="2024-11-01T00:00:00"/>
    <x v="0"/>
    <x v="2"/>
    <x v="2"/>
    <s v="No"/>
    <x v="1"/>
    <s v="Yes"/>
    <x v="0"/>
    <x v="6"/>
    <n v="15"/>
  </r>
  <r>
    <n v="3481"/>
    <s v="Marcos Gomes"/>
    <x v="1"/>
    <d v="2024-11-02T00:00:00"/>
    <x v="1"/>
    <x v="1"/>
    <x v="0"/>
    <s v="No"/>
    <x v="1"/>
    <s v="No"/>
    <x v="1"/>
    <x v="4"/>
    <n v="4"/>
  </r>
  <r>
    <n v="3482"/>
    <s v="Natália Soares"/>
    <x v="0"/>
    <d v="2024-11-03T00:00:00"/>
    <x v="0"/>
    <x v="0"/>
    <x v="1"/>
    <s v="Yes"/>
    <x v="0"/>
    <s v="Yes"/>
    <x v="0"/>
    <x v="3"/>
    <n v="62"/>
  </r>
  <r>
    <n v="3483"/>
    <s v="Oscar Machado"/>
    <x v="2"/>
    <d v="2024-11-04T00:00:00"/>
    <x v="1"/>
    <x v="2"/>
    <x v="0"/>
    <s v="No"/>
    <x v="1"/>
    <s v="Yes"/>
    <x v="0"/>
    <x v="2"/>
    <n v="20"/>
  </r>
  <r>
    <n v="3484"/>
    <s v="Patrícia Lima"/>
    <x v="1"/>
    <d v="2024-11-05T00:00:00"/>
    <x v="0"/>
    <x v="1"/>
    <x v="2"/>
    <s v="No"/>
    <x v="1"/>
    <s v="No"/>
    <x v="1"/>
    <x v="1"/>
    <n v="5"/>
  </r>
  <r>
    <n v="3485"/>
    <s v="Quirino Neto"/>
    <x v="0"/>
    <d v="2024-11-06T00:00:00"/>
    <x v="1"/>
    <x v="0"/>
    <x v="0"/>
    <s v="Yes"/>
    <x v="0"/>
    <s v="Yes"/>
    <x v="0"/>
    <x v="6"/>
    <n v="50"/>
  </r>
  <r>
    <n v="3486"/>
    <s v="Rafaela Souza"/>
    <x v="1"/>
    <d v="2024-11-07T00:00:00"/>
    <x v="0"/>
    <x v="1"/>
    <x v="0"/>
    <s v="No"/>
    <x v="1"/>
    <s v="No"/>
    <x v="1"/>
    <x v="1"/>
    <n v="5"/>
  </r>
  <r>
    <n v="3487"/>
    <s v="Sandro Almeida"/>
    <x v="0"/>
    <d v="2024-11-08T00:00:00"/>
    <x v="1"/>
    <x v="0"/>
    <x v="2"/>
    <s v="Yes"/>
    <x v="0"/>
    <s v="Yes"/>
    <x v="0"/>
    <x v="10"/>
    <n v="58"/>
  </r>
  <r>
    <n v="3488"/>
    <s v="Tânia Ribeiro"/>
    <x v="2"/>
    <d v="2024-11-09T00:00:00"/>
    <x v="0"/>
    <x v="2"/>
    <x v="1"/>
    <s v="No"/>
    <x v="1"/>
    <s v="Yes"/>
    <x v="0"/>
    <x v="2"/>
    <n v="20"/>
  </r>
  <r>
    <n v="3489"/>
    <s v="Ugo Dias"/>
    <x v="1"/>
    <d v="2024-11-10T00:00:00"/>
    <x v="1"/>
    <x v="1"/>
    <x v="2"/>
    <s v="No"/>
    <x v="1"/>
    <s v="No"/>
    <x v="1"/>
    <x v="4"/>
    <n v="4"/>
  </r>
  <r>
    <n v="3490"/>
    <s v="Valéria Lima"/>
    <x v="0"/>
    <d v="2024-11-11T00:00:00"/>
    <x v="0"/>
    <x v="0"/>
    <x v="0"/>
    <s v="Yes"/>
    <x v="0"/>
    <s v="Yes"/>
    <x v="0"/>
    <x v="6"/>
    <n v="50"/>
  </r>
  <r>
    <n v="3491"/>
    <s v="William Fernandes"/>
    <x v="2"/>
    <d v="2024-11-12T00:00:00"/>
    <x v="1"/>
    <x v="2"/>
    <x v="0"/>
    <s v="No"/>
    <x v="1"/>
    <s v="Yes"/>
    <x v="0"/>
    <x v="0"/>
    <n v="25"/>
  </r>
  <r>
    <n v="3492"/>
    <s v="Xuxa Mendes"/>
    <x v="1"/>
    <d v="2024-11-13T00:00:00"/>
    <x v="0"/>
    <x v="1"/>
    <x v="1"/>
    <s v="No"/>
    <x v="1"/>
    <s v="No"/>
    <x v="1"/>
    <x v="1"/>
    <n v="5"/>
  </r>
  <r>
    <n v="3493"/>
    <s v="Ygor Farias"/>
    <x v="0"/>
    <d v="2024-11-14T00:00:00"/>
    <x v="1"/>
    <x v="0"/>
    <x v="2"/>
    <s v="Yes"/>
    <x v="0"/>
    <s v="Yes"/>
    <x v="0"/>
    <x v="7"/>
    <n v="45"/>
  </r>
  <r>
    <n v="3494"/>
    <s v="Zilda Barros"/>
    <x v="2"/>
    <d v="2024-11-15T00:00:00"/>
    <x v="0"/>
    <x v="2"/>
    <x v="2"/>
    <s v="No"/>
    <x v="1"/>
    <s v="Yes"/>
    <x v="0"/>
    <x v="9"/>
    <n v="18"/>
  </r>
  <r>
    <n v="3495"/>
    <s v="Amanda Santos"/>
    <x v="1"/>
    <d v="2024-11-16T00:00:00"/>
    <x v="1"/>
    <x v="1"/>
    <x v="0"/>
    <s v="No"/>
    <x v="1"/>
    <s v="No"/>
    <x v="1"/>
    <x v="5"/>
    <n v="3"/>
  </r>
  <r>
    <n v="3496"/>
    <s v="Bruno Costa"/>
    <x v="0"/>
    <d v="2024-11-17T00:00:00"/>
    <x v="0"/>
    <x v="0"/>
    <x v="1"/>
    <s v="Yes"/>
    <x v="0"/>
    <s v="Yes"/>
    <x v="0"/>
    <x v="0"/>
    <n v="60"/>
  </r>
  <r>
    <n v="3497"/>
    <s v="Carla Rodrigues"/>
    <x v="2"/>
    <d v="2024-11-18T00:00:00"/>
    <x v="1"/>
    <x v="2"/>
    <x v="0"/>
    <s v="No"/>
    <x v="1"/>
    <s v="Yes"/>
    <x v="0"/>
    <x v="2"/>
    <n v="20"/>
  </r>
  <r>
    <n v="3498"/>
    <s v="Diogo Pereira"/>
    <x v="1"/>
    <d v="2024-11-19T00:00:00"/>
    <x v="0"/>
    <x v="1"/>
    <x v="2"/>
    <s v="No"/>
    <x v="1"/>
    <s v="No"/>
    <x v="1"/>
    <x v="1"/>
    <n v="5"/>
  </r>
  <r>
    <n v="3499"/>
    <s v="Elisa Correia"/>
    <x v="0"/>
    <d v="2024-11-20T00:00:00"/>
    <x v="1"/>
    <x v="0"/>
    <x v="0"/>
    <s v="Yes"/>
    <x v="0"/>
    <s v="Yes"/>
    <x v="0"/>
    <x v="3"/>
    <n v="62"/>
  </r>
  <r>
    <n v="3500"/>
    <s v="Fábio Lourenço"/>
    <x v="2"/>
    <d v="2024-11-21T00:00:00"/>
    <x v="0"/>
    <x v="2"/>
    <x v="1"/>
    <s v="No"/>
    <x v="1"/>
    <s v="Yes"/>
    <x v="0"/>
    <x v="6"/>
    <n v="15"/>
  </r>
  <r>
    <n v="3501"/>
    <s v="Gabriela Neves"/>
    <x v="1"/>
    <d v="2024-11-22T00:00:00"/>
    <x v="1"/>
    <x v="1"/>
    <x v="0"/>
    <s v="No"/>
    <x v="1"/>
    <s v="No"/>
    <x v="1"/>
    <x v="4"/>
    <n v="4"/>
  </r>
  <r>
    <n v="3502"/>
    <s v="Henrique Gonçalves"/>
    <x v="0"/>
    <d v="2024-11-23T00:00:00"/>
    <x v="0"/>
    <x v="0"/>
    <x v="2"/>
    <s v="Yes"/>
    <x v="0"/>
    <s v="Yes"/>
    <x v="0"/>
    <x v="10"/>
    <n v="58"/>
  </r>
  <r>
    <n v="3503"/>
    <s v="Íris Santos"/>
    <x v="2"/>
    <d v="2024-11-24T00:00:00"/>
    <x v="1"/>
    <x v="2"/>
    <x v="0"/>
    <s v="No"/>
    <x v="1"/>
    <s v="Yes"/>
    <x v="0"/>
    <x v="2"/>
    <n v="20"/>
  </r>
  <r>
    <n v="3504"/>
    <s v="João Marcelo Alves"/>
    <x v="1"/>
    <d v="2024-11-25T00:00:00"/>
    <x v="0"/>
    <x v="1"/>
    <x v="1"/>
    <s v="No"/>
    <x v="1"/>
    <s v="No"/>
    <x v="1"/>
    <x v="1"/>
    <n v="5"/>
  </r>
  <r>
    <n v="3505"/>
    <s v="Klara Fonseca"/>
    <x v="0"/>
    <d v="2024-11-26T00:00:00"/>
    <x v="1"/>
    <x v="0"/>
    <x v="0"/>
    <s v="Yes"/>
    <x v="0"/>
    <s v="Yes"/>
    <x v="0"/>
    <x v="7"/>
    <n v="45"/>
  </r>
  <r>
    <n v="3506"/>
    <s v="Lucas Mendonça"/>
    <x v="2"/>
    <d v="2024-11-27T00:00:00"/>
    <x v="0"/>
    <x v="2"/>
    <x v="2"/>
    <s v="No"/>
    <x v="1"/>
    <s v="Yes"/>
    <x v="0"/>
    <x v="6"/>
    <n v="15"/>
  </r>
  <r>
    <n v="3507"/>
    <s v="Marcela Torres"/>
    <x v="1"/>
    <d v="2024-11-28T00:00:00"/>
    <x v="1"/>
    <x v="1"/>
    <x v="0"/>
    <s v="No"/>
    <x v="1"/>
    <s v="No"/>
    <x v="1"/>
    <x v="4"/>
    <n v="4"/>
  </r>
  <r>
    <n v="3508"/>
    <s v="Natália Castro"/>
    <x v="0"/>
    <d v="2024-11-29T00:00:00"/>
    <x v="0"/>
    <x v="0"/>
    <x v="1"/>
    <s v="Yes"/>
    <x v="0"/>
    <s v="Yes"/>
    <x v="0"/>
    <x v="3"/>
    <n v="62"/>
  </r>
  <r>
    <n v="3509"/>
    <s v="Oscar Martins"/>
    <x v="2"/>
    <d v="2024-11-30T00:00:00"/>
    <x v="1"/>
    <x v="2"/>
    <x v="0"/>
    <s v="No"/>
    <x v="1"/>
    <s v="Yes"/>
    <x v="0"/>
    <x v="2"/>
    <n v="20"/>
  </r>
  <r>
    <n v="3510"/>
    <s v="Patrícia Oliveira"/>
    <x v="1"/>
    <d v="2024-12-01T00:00:00"/>
    <x v="0"/>
    <x v="1"/>
    <x v="2"/>
    <s v="No"/>
    <x v="1"/>
    <s v="No"/>
    <x v="1"/>
    <x v="1"/>
    <n v="5"/>
  </r>
  <r>
    <n v="3511"/>
    <s v="Quentin Nogueira"/>
    <x v="0"/>
    <d v="2024-12-02T00:00:00"/>
    <x v="1"/>
    <x v="0"/>
    <x v="0"/>
    <s v="Yes"/>
    <x v="0"/>
    <s v="Yes"/>
    <x v="0"/>
    <x v="6"/>
    <n v="50"/>
  </r>
  <r>
    <n v="3512"/>
    <s v="Raquel Silva"/>
    <x v="2"/>
    <d v="2024-12-03T00:00:00"/>
    <x v="0"/>
    <x v="2"/>
    <x v="1"/>
    <s v="No"/>
    <x v="1"/>
    <s v="Yes"/>
    <x v="0"/>
    <x v="6"/>
    <n v="15"/>
  </r>
  <r>
    <n v="3513"/>
    <s v="Sandro Gomes"/>
    <x v="1"/>
    <d v="2024-12-04T00:00:00"/>
    <x v="1"/>
    <x v="1"/>
    <x v="0"/>
    <s v="No"/>
    <x v="1"/>
    <s v="No"/>
    <x v="1"/>
    <x v="4"/>
    <n v="4"/>
  </r>
  <r>
    <n v="3514"/>
    <s v="Tânia Machado"/>
    <x v="0"/>
    <d v="2024-12-05T00:00:00"/>
    <x v="0"/>
    <x v="0"/>
    <x v="2"/>
    <s v="Yes"/>
    <x v="0"/>
    <s v="Yes"/>
    <x v="0"/>
    <x v="10"/>
    <n v="58"/>
  </r>
  <r>
    <n v="3515"/>
    <s v="Ursula Silva"/>
    <x v="2"/>
    <d v="2024-12-06T00:00:00"/>
    <x v="1"/>
    <x v="2"/>
    <x v="0"/>
    <s v="No"/>
    <x v="1"/>
    <s v="Yes"/>
    <x v="0"/>
    <x v="2"/>
    <n v="20"/>
  </r>
  <r>
    <n v="3516"/>
    <s v="Vanessa Moraes"/>
    <x v="1"/>
    <d v="2024-12-07T00:00:00"/>
    <x v="0"/>
    <x v="1"/>
    <x v="1"/>
    <s v="No"/>
    <x v="1"/>
    <s v="No"/>
    <x v="1"/>
    <x v="1"/>
    <n v="5"/>
  </r>
  <r>
    <n v="3517"/>
    <s v="William Carvalho"/>
    <x v="0"/>
    <d v="2024-12-08T00:00:00"/>
    <x v="1"/>
    <x v="0"/>
    <x v="0"/>
    <s v="Yes"/>
    <x v="0"/>
    <s v="Yes"/>
    <x v="0"/>
    <x v="7"/>
    <n v="45"/>
  </r>
  <r>
    <n v="3518"/>
    <s v="Xavier Reis"/>
    <x v="2"/>
    <d v="2024-12-09T00:00:00"/>
    <x v="0"/>
    <x v="2"/>
    <x v="2"/>
    <s v="No"/>
    <x v="1"/>
    <s v="Yes"/>
    <x v="0"/>
    <x v="9"/>
    <n v="18"/>
  </r>
  <r>
    <n v="3519"/>
    <s v="Yasmin Rocha"/>
    <x v="1"/>
    <d v="2024-12-10T00:00:00"/>
    <x v="1"/>
    <x v="1"/>
    <x v="0"/>
    <s v="No"/>
    <x v="1"/>
    <s v="No"/>
    <x v="1"/>
    <x v="5"/>
    <n v="3"/>
  </r>
  <r>
    <n v="3520"/>
    <s v="Zacarias Duarte"/>
    <x v="0"/>
    <d v="2024-12-11T00:00:00"/>
    <x v="0"/>
    <x v="0"/>
    <x v="1"/>
    <s v="Yes"/>
    <x v="0"/>
    <s v="Yes"/>
    <x v="0"/>
    <x v="0"/>
    <n v="60"/>
  </r>
  <r>
    <n v="3521"/>
    <s v="Amanda Freitas"/>
    <x v="2"/>
    <d v="2024-12-12T00:00:00"/>
    <x v="1"/>
    <x v="2"/>
    <x v="0"/>
    <s v="No"/>
    <x v="1"/>
    <s v="Yes"/>
    <x v="0"/>
    <x v="2"/>
    <n v="20"/>
  </r>
  <r>
    <n v="3522"/>
    <s v="Bruno Almeida"/>
    <x v="1"/>
    <d v="2024-12-13T00:00:00"/>
    <x v="0"/>
    <x v="1"/>
    <x v="2"/>
    <s v="No"/>
    <x v="1"/>
    <s v="No"/>
    <x v="1"/>
    <x v="1"/>
    <n v="5"/>
  </r>
  <r>
    <n v="3523"/>
    <s v="Carla Siqueira"/>
    <x v="0"/>
    <d v="2024-12-14T00:00:00"/>
    <x v="1"/>
    <x v="0"/>
    <x v="0"/>
    <s v="Yes"/>
    <x v="0"/>
    <s v="Yes"/>
    <x v="0"/>
    <x v="3"/>
    <n v="62"/>
  </r>
  <r>
    <n v="3524"/>
    <s v="Diogo Ramos"/>
    <x v="2"/>
    <d v="2024-12-15T00:00:00"/>
    <x v="0"/>
    <x v="2"/>
    <x v="1"/>
    <s v="No"/>
    <x v="1"/>
    <s v="Yes"/>
    <x v="0"/>
    <x v="6"/>
    <n v="15"/>
  </r>
  <r>
    <n v="3525"/>
    <s v="Elisa Magalhães"/>
    <x v="1"/>
    <d v="2024-12-16T00:00:00"/>
    <x v="1"/>
    <x v="1"/>
    <x v="0"/>
    <s v="No"/>
    <x v="1"/>
    <s v="No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93C08-2C5C-4C1F-937E-94EF8E184DC4}" name="Tabela Dinâmica6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38:C42" firstHeaderRow="1" firstDataRow="1" firstDataCol="1" rowPageCount="1" colPageCount="1"/>
  <pivotFields count="13"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651FC-E16E-4E58-8EDA-1B2CEA52CAA6}" name="Tabela Dinâ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9:H30" firstHeaderRow="0" firstDataRow="1" firstDataCol="1" rowPageCount="1" colPageCount="1"/>
  <pivotFields count="13">
    <pivotField showAll="0"/>
    <pivotField showAll="0"/>
    <pivotField showAll="0"/>
    <pivotField numFmtId="14" showAll="0"/>
    <pivotField showAll="0"/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axis="axisRow" numFmtId="164" showAll="0">
      <items count="12">
        <item h="1"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164" showAll="0"/>
  </pivotFields>
  <rowFields count="1">
    <field x="1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ntagem de Total Value" fld="12" subtotal="count" baseField="11" baseItem="1"/>
    <dataField name="Soma de Total Value2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CD736-B930-46AB-9766-76DC5FF2B21C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0">
  <location ref="F11:G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showDataAs="percentOfTotal" baseField="4" baseItem="0" numFmtId="10"/>
  </dataFields>
  <chartFormats count="5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CC2C1-BFFC-4592-8994-472D100966B1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4:C26" firstHeaderRow="1" firstDataRow="1" firstDataCol="1" rowPageCount="1" colPageCount="1"/>
  <pivotFields count="13">
    <pivotField showAll="0"/>
    <pivotField showAll="0"/>
    <pivotField showAll="0"/>
    <pivotField numFmtId="14" showAll="0"/>
    <pivotField showAll="0"/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numFmtId="164" showAll="0">
      <items count="3">
        <item h="1" x="1"/>
        <item x="0"/>
        <item t="default"/>
      </items>
    </pivotField>
    <pivotField numFmtId="164" showAll="0"/>
    <pivotField dataField="1" numFmtId="164" showAll="0"/>
  </pivotFields>
  <rowFields count="1">
    <field x="10"/>
  </rowFields>
  <rowItems count="2"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20FC8-4AAD-4387-B0AC-03B0F874E620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7:C19" firstHeaderRow="1" firstDataRow="1" firstDataCol="1" rowPageCount="1" colPageCount="1"/>
  <pivotFields count="13">
    <pivotField showAll="0"/>
    <pivotField showAll="0"/>
    <pivotField showAll="0"/>
    <pivotField numFmtId="14" showAll="0"/>
    <pivotField showAll="0"/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0"/>
        <item h="1" x="1"/>
        <item t="default"/>
      </items>
    </pivotField>
    <pivotField showAll="0"/>
    <pivotField numFmtId="164" showAll="0"/>
    <pivotField numFmtId="164" showAll="0"/>
    <pivotField dataField="1" numFmtId="164" showAll="0"/>
  </pivotFields>
  <rowFields count="1">
    <field x="8"/>
  </rowFields>
  <rowItems count="2">
    <i>
      <x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9BA99-67B6-410A-BA36-124CA7B44233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B12" firstHeaderRow="1" firstDataRow="1" firstDataCol="0" rowPageCount="1" colPageCount="1"/>
  <pivotFields count="13">
    <pivotField showAll="0"/>
    <pivotField showAll="0"/>
    <pivotField showAll="0"/>
    <pivotField numFmtId="14" showAll="0"/>
    <pivotField showAll="0"/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A95BABC-FA22-4BAE-BF9E-69FAD124E548}" sourceName="Subscription Type">
  <pivotTables>
    <pivotTable tabId="3" name="Tabela Dinâmica6"/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data>
    <tabular pivotCacheId="138597966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EB0A2DE-7D94-4B42-A5AF-8E43993AA17B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5" sqref="B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5" sqref="B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I43"/>
  <sheetViews>
    <sheetView showGridLines="0" workbookViewId="0">
      <selection activeCell="B5" sqref="B5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4" width="17.5546875" customWidth="1"/>
    <col min="5" max="5" width="6.33203125" customWidth="1"/>
    <col min="6" max="6" width="16.77734375" bestFit="1" customWidth="1"/>
    <col min="7" max="7" width="21.6640625" bestFit="1" customWidth="1"/>
    <col min="8" max="8" width="18.88671875" bestFit="1" customWidth="1"/>
    <col min="9" max="9" width="16.77734375" bestFit="1" customWidth="1"/>
    <col min="10" max="10" width="17.88671875" bestFit="1" customWidth="1"/>
    <col min="11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7" x14ac:dyDescent="0.3">
      <c r="B2" t="s">
        <v>314</v>
      </c>
    </row>
    <row r="3" spans="2:7" x14ac:dyDescent="0.3">
      <c r="B3" t="s">
        <v>317</v>
      </c>
    </row>
    <row r="4" spans="2:7" x14ac:dyDescent="0.3">
      <c r="B4" t="s">
        <v>318</v>
      </c>
    </row>
    <row r="5" spans="2:7" x14ac:dyDescent="0.3">
      <c r="B5" t="s">
        <v>315</v>
      </c>
    </row>
    <row r="6" spans="2:7" x14ac:dyDescent="0.3">
      <c r="B6" t="s">
        <v>316</v>
      </c>
    </row>
    <row r="7" spans="2:7" x14ac:dyDescent="0.3">
      <c r="B7" t="s">
        <v>319</v>
      </c>
    </row>
    <row r="9" spans="2:7" x14ac:dyDescent="0.3">
      <c r="B9" s="15" t="s">
        <v>16</v>
      </c>
      <c r="C9" t="s">
        <v>323</v>
      </c>
      <c r="F9" s="15" t="s">
        <v>16</v>
      </c>
      <c r="G9" t="s">
        <v>323</v>
      </c>
    </row>
    <row r="11" spans="2:7" x14ac:dyDescent="0.3">
      <c r="B11" t="s">
        <v>322</v>
      </c>
      <c r="F11" s="15" t="s">
        <v>320</v>
      </c>
      <c r="G11" t="s">
        <v>322</v>
      </c>
    </row>
    <row r="12" spans="2:7" x14ac:dyDescent="0.3">
      <c r="B12" s="17">
        <v>7633</v>
      </c>
      <c r="D12" s="19">
        <f>GETPIVOTDATA("Total Value",$B$11)</f>
        <v>7633</v>
      </c>
      <c r="F12" s="18" t="s">
        <v>23</v>
      </c>
      <c r="G12" s="22">
        <v>0.5039958076771911</v>
      </c>
    </row>
    <row r="13" spans="2:7" x14ac:dyDescent="0.3">
      <c r="F13" s="18" t="s">
        <v>19</v>
      </c>
      <c r="G13" s="22">
        <v>0.49600419232280885</v>
      </c>
    </row>
    <row r="14" spans="2:7" x14ac:dyDescent="0.3">
      <c r="F14" s="18" t="s">
        <v>321</v>
      </c>
      <c r="G14" s="22">
        <v>1</v>
      </c>
    </row>
    <row r="15" spans="2:7" x14ac:dyDescent="0.3">
      <c r="B15" s="15" t="s">
        <v>16</v>
      </c>
      <c r="C15" t="s">
        <v>323</v>
      </c>
    </row>
    <row r="17" spans="2:9" x14ac:dyDescent="0.3">
      <c r="B17" s="15" t="s">
        <v>320</v>
      </c>
      <c r="C17" t="s">
        <v>322</v>
      </c>
      <c r="F17" s="15" t="s">
        <v>16</v>
      </c>
      <c r="G17" t="s">
        <v>323</v>
      </c>
    </row>
    <row r="18" spans="2:9" x14ac:dyDescent="0.3">
      <c r="B18" s="18">
        <v>30</v>
      </c>
      <c r="C18" s="17">
        <v>5388</v>
      </c>
    </row>
    <row r="19" spans="2:9" x14ac:dyDescent="0.3">
      <c r="B19" s="18" t="s">
        <v>321</v>
      </c>
      <c r="C19" s="17">
        <v>5388</v>
      </c>
      <c r="D19" s="19">
        <f>GETPIVOTDATA("Total Value",$B$19)</f>
        <v>5388</v>
      </c>
      <c r="F19" s="15" t="s">
        <v>320</v>
      </c>
      <c r="G19" t="s">
        <v>325</v>
      </c>
      <c r="H19" t="s">
        <v>324</v>
      </c>
    </row>
    <row r="20" spans="2:9" x14ac:dyDescent="0.3">
      <c r="F20" s="16">
        <v>1</v>
      </c>
      <c r="G20" s="20">
        <v>39</v>
      </c>
      <c r="H20" s="17">
        <v>156</v>
      </c>
    </row>
    <row r="21" spans="2:9" x14ac:dyDescent="0.3">
      <c r="F21" s="16">
        <v>2</v>
      </c>
      <c r="G21" s="20">
        <v>12</v>
      </c>
      <c r="H21" s="17">
        <v>61</v>
      </c>
    </row>
    <row r="22" spans="2:9" x14ac:dyDescent="0.3">
      <c r="B22" s="15" t="s">
        <v>16</v>
      </c>
      <c r="C22" t="s">
        <v>323</v>
      </c>
      <c r="F22" s="16">
        <v>3</v>
      </c>
      <c r="G22" s="20">
        <v>21</v>
      </c>
      <c r="H22" s="17">
        <v>1302</v>
      </c>
    </row>
    <row r="23" spans="2:9" x14ac:dyDescent="0.3">
      <c r="F23" s="16">
        <v>5</v>
      </c>
      <c r="G23" s="20">
        <v>25</v>
      </c>
      <c r="H23" s="17">
        <v>1150</v>
      </c>
    </row>
    <row r="24" spans="2:9" x14ac:dyDescent="0.3">
      <c r="B24" s="15" t="s">
        <v>320</v>
      </c>
      <c r="C24" t="s">
        <v>322</v>
      </c>
      <c r="F24" s="16">
        <v>7</v>
      </c>
      <c r="G24" s="20">
        <v>23</v>
      </c>
      <c r="H24" s="17">
        <v>1334</v>
      </c>
    </row>
    <row r="25" spans="2:9" x14ac:dyDescent="0.3">
      <c r="B25" s="16">
        <v>20</v>
      </c>
      <c r="C25" s="17">
        <v>7189</v>
      </c>
      <c r="F25" s="16">
        <v>8</v>
      </c>
      <c r="G25" s="20">
        <v>1</v>
      </c>
      <c r="H25" s="17">
        <v>57</v>
      </c>
    </row>
    <row r="26" spans="2:9" x14ac:dyDescent="0.3">
      <c r="B26" s="16" t="s">
        <v>321</v>
      </c>
      <c r="C26" s="17">
        <v>7189</v>
      </c>
      <c r="D26" s="19">
        <f>GETPIVOTDATA("Total Value",$B$26)</f>
        <v>7189</v>
      </c>
      <c r="F26" s="16">
        <v>10</v>
      </c>
      <c r="G26" s="20">
        <v>44</v>
      </c>
      <c r="H26" s="17">
        <v>915</v>
      </c>
    </row>
    <row r="27" spans="2:9" x14ac:dyDescent="0.3">
      <c r="F27" s="16">
        <v>12</v>
      </c>
      <c r="G27" s="20">
        <v>11</v>
      </c>
      <c r="H27" s="17">
        <v>198</v>
      </c>
    </row>
    <row r="28" spans="2:9" x14ac:dyDescent="0.3">
      <c r="F28" s="16">
        <v>15</v>
      </c>
      <c r="G28" s="20">
        <v>46</v>
      </c>
      <c r="H28" s="17">
        <v>1215</v>
      </c>
    </row>
    <row r="29" spans="2:9" x14ac:dyDescent="0.3">
      <c r="F29" s="16">
        <v>20</v>
      </c>
      <c r="G29" s="20">
        <v>22</v>
      </c>
      <c r="H29" s="17">
        <v>990</v>
      </c>
    </row>
    <row r="30" spans="2:9" x14ac:dyDescent="0.3">
      <c r="F30" s="16" t="s">
        <v>321</v>
      </c>
      <c r="G30" s="20">
        <v>244</v>
      </c>
      <c r="H30" s="17">
        <v>7378</v>
      </c>
      <c r="I30" s="21">
        <f>GETPIVOTDATA("Soma de Total Value2",$F$19)</f>
        <v>7378</v>
      </c>
    </row>
    <row r="36" spans="2:3" x14ac:dyDescent="0.3">
      <c r="B36" s="15" t="s">
        <v>16</v>
      </c>
      <c r="C36" t="s">
        <v>323</v>
      </c>
    </row>
    <row r="38" spans="2:3" x14ac:dyDescent="0.3">
      <c r="B38" s="15" t="s">
        <v>320</v>
      </c>
      <c r="C38" t="s">
        <v>322</v>
      </c>
    </row>
    <row r="39" spans="2:3" x14ac:dyDescent="0.3">
      <c r="B39" s="18" t="s">
        <v>18</v>
      </c>
      <c r="C39" s="17">
        <v>5388</v>
      </c>
    </row>
    <row r="40" spans="2:3" x14ac:dyDescent="0.3">
      <c r="B40" s="18" t="s">
        <v>26</v>
      </c>
      <c r="C40" s="17">
        <v>1801</v>
      </c>
    </row>
    <row r="41" spans="2:3" x14ac:dyDescent="0.3">
      <c r="B41" s="18" t="s">
        <v>22</v>
      </c>
      <c r="C41" s="17">
        <v>444</v>
      </c>
    </row>
    <row r="42" spans="2:3" x14ac:dyDescent="0.3">
      <c r="B42" s="18" t="s">
        <v>321</v>
      </c>
      <c r="C42" s="17">
        <v>7633</v>
      </c>
    </row>
    <row r="43" spans="2:3" x14ac:dyDescent="0.3">
      <c r="B43" s="18"/>
      <c r="C43" s="17"/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33"/>
  <sheetViews>
    <sheetView showGridLines="0" showRowColHeaders="0" tabSelected="1" zoomScaleNormal="100" workbookViewId="0">
      <selection activeCell="B4" sqref="B4:I4"/>
    </sheetView>
  </sheetViews>
  <sheetFormatPr defaultRowHeight="14.4" x14ac:dyDescent="0.3"/>
  <cols>
    <col min="1" max="1" width="24.5546875" style="12" customWidth="1"/>
    <col min="2" max="2" width="3.5546875" customWidth="1"/>
    <col min="12" max="12" width="6.5546875" customWidth="1"/>
  </cols>
  <sheetData>
    <row r="1" spans="1:21" x14ac:dyDescent="0.3">
      <c r="A1" s="4"/>
    </row>
    <row r="2" spans="1:21" ht="39" customHeight="1" thickBot="1" x14ac:dyDescent="0.7">
      <c r="A2" s="4"/>
      <c r="C2" s="14" t="s">
        <v>313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8.25" customHeight="1" thickTop="1" x14ac:dyDescent="0.3">
      <c r="A3" s="4"/>
    </row>
    <row r="4" spans="1:21" ht="7.5" customHeight="1" x14ac:dyDescent="0.3">
      <c r="A4" s="4"/>
      <c r="B4" s="25" t="s">
        <v>327</v>
      </c>
      <c r="C4" s="24"/>
      <c r="D4" s="24"/>
      <c r="E4" s="24"/>
      <c r="F4" s="24"/>
      <c r="G4" s="24"/>
      <c r="H4" s="24"/>
      <c r="I4" s="2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0.5" customHeight="1" x14ac:dyDescent="0.3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9.75" customHeight="1" x14ac:dyDescent="0.3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33" customHeight="1" x14ac:dyDescent="0.45">
      <c r="A7" s="23" t="s">
        <v>326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3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3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3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3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3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3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3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3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3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3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3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3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3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3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3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3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3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3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3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3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3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3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3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</sheetData>
  <mergeCells count="1">
    <mergeCell ref="B4:I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Karen Pessoa</cp:lastModifiedBy>
  <dcterms:created xsi:type="dcterms:W3CDTF">2024-12-19T13:13:10Z</dcterms:created>
  <dcterms:modified xsi:type="dcterms:W3CDTF">2025-12-30T17:12:44Z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